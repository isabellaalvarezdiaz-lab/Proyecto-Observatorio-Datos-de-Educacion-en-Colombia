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eeme" sheetId="1" state="visible" r:id="rId3"/>
    <sheet name="Trazabilidad" sheetId="2" state="visible" r:id="rId4"/>
    <sheet name="Resume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<sst xmlns="http://schemas.openxmlformats.org/spreadsheetml/2006/main" count="248" uniqueCount="159">
  <si>
    <t xml:space="preserve">Trazabilidad del estado del arte — 12 fuentes seleccionadas</t>
  </si>
  <si>
    <t xml:space="preserve">Una fila por afirmación del estado del arte que se apoya en un artículo. La llena quien abre el documento y firma.</t>
  </si>
  <si>
    <t xml:space="preserve">Columnas</t>
  </si>
  <si>
    <t xml:space="preserve">· Ubicación: página exacta (p. 84) o sección (Resumen).</t>
  </si>
  <si>
    <t xml:space="preserve">· Cita textual de la fuente: la frase del artículo que sostiene la afirmación. Sin esto la fila no vale.</t>
  </si>
  <si>
    <t xml:space="preserve">· Estado: Verificada / Corregir - dato distinto / No se sostiene / Fuente no conseguida / Pendiente.</t>
  </si>
  <si>
    <t xml:space="preserve">· ¿Tiene PDF?: verde = ya está en la carpeta del corpus. Las demás hay que conseguirlas.</t>
  </si>
  <si>
    <t xml:space="preserve">Reglas</t>
  </si>
  <si>
    <t xml:space="preserve">· El resumen sirve solo si la afirmación está literalmente en él; anotar «solo resumen» en Observación.</t>
  </si>
  <si>
    <t xml:space="preserve">· Si no consiguen el texto y la afirmación no está en el resumen, la fila NO queda «Verificada».</t>
  </si>
  <si>
    <t xml:space="preserve">· Copien la cifra o el detalle real en «Observación» cuando el dato no coincida.</t>
  </si>
  <si>
    <t xml:space="preserve">· Cada fila «Verificada» con página se convierte en una pregunta del banco de evaluación.</t>
  </si>
  <si>
    <t xml:space="preserve">Nota aparte</t>
  </si>
  <si>
    <t xml:space="preserve">Las afirmaciones del estado del arte que NO vienen de artículos (SITEAL, SNIES/SPADIES, ISCE, el informe del</t>
  </si>
  <si>
    <t xml:space="preserve">proyecto anterior, la llave SNIES–Saber Pro, la regla de tamaño de muestra) también necesitan respaldo, pero van</t>
  </si>
  <si>
    <t xml:space="preserve">en otra lista: no son parte de esta verificación bibliográfica.</t>
  </si>
  <si>
    <t xml:space="preserve">ID</t>
  </si>
  <si>
    <t xml:space="preserve">Asignado a</t>
  </si>
  <si>
    <t xml:space="preserve">Afirmación del estado del arte</t>
  </si>
  <si>
    <t xml:space="preserve">Fuente (clave)</t>
  </si>
  <si>
    <t xml:space="preserve">¿Tiene PDF?</t>
  </si>
  <si>
    <t xml:space="preserve">Ubicación (p. / sección)</t>
  </si>
  <si>
    <t xml:space="preserve">Cita textual de la fuente</t>
  </si>
  <si>
    <t xml:space="preserve">Estado</t>
  </si>
  <si>
    <t xml:space="preserve">Observación / dato correcto</t>
  </si>
  <si>
    <t xml:space="preserve">Verificado por</t>
  </si>
  <si>
    <t xml:space="preserve">Fecha</t>
  </si>
  <si>
    <t xml:space="preserve">T01</t>
  </si>
  <si>
    <t xml:space="preserve">Isabella</t>
  </si>
  <si>
    <t xml:space="preserve">Aplica DEA al gasto territorial del SGP; eficiencia promedio en cobertura de 62,3 %</t>
  </si>
  <si>
    <t xml:space="preserve">galvis-aponte-2015</t>
  </si>
  <si>
    <t xml:space="preserve">Sí</t>
  </si>
  <si>
    <t xml:space="preserve">p. 88</t>
  </si>
  <si>
    <t xml:space="preserve">Con respecto a la cobertura en educación, la eficiencia promedio llega a 63,43 (Cuadro 2)</t>
  </si>
  <si>
    <t xml:space="preserve">Corregir - dato distinto</t>
  </si>
  <si>
    <t xml:space="preserve">Dato real: 63,43 (Cuadro 2); el resumen del mismo artículo dice 62,3. Además no es solo básica y media: el producto de cobertura son alumnos de preescolar a media, en municipios, 2012, con orientación a insumos</t>
  </si>
  <si>
    <t xml:space="preserve">T02</t>
  </si>
  <si>
    <t xml:space="preserve">Galvis-Aponte (2015) evalúa municipios en 2012, con orientación a insumos; productos: matrícula de preescolar a media y alumnos con Saber 11 sobre el promedio</t>
  </si>
  <si>
    <t xml:space="preserve">p. 88 y Anexo 1, p. 98</t>
  </si>
  <si>
    <t xml:space="preserve">En cuanto a los insumos, se usa el número de docentes oficiales, la inversión en educación, el espacio medido en metros cuadrados de aula y el número de docentes escalafonados</t>
  </si>
  <si>
    <t xml:space="preserve">Verificada</t>
  </si>
  <si>
    <t xml:space="preserve">Sustenta la descripción del estudio en el estado del arte. · FALTA segundo pasaje con página que sostenga la orientación a insumos y los productos (metodología, p. 85; Anexo 1, p. 98). La cita actual solo cubre los insumos.</t>
  </si>
  <si>
    <t xml:space="preserve">T03</t>
  </si>
  <si>
    <t xml:space="preserve">En calidad la eficiencia llega apenas a 48,8 %</t>
  </si>
  <si>
    <t xml:space="preserve">p. 89, Cuadro 2</t>
  </si>
  <si>
    <t xml:space="preserve">Cuadro 2 — Calidad: eficiencia promedio 48,81</t>
  </si>
  <si>
    <t xml:space="preserve">48,81 en el Cuadro 2; el anteproyecto usa 48,8, que es el mismo valor redondeado. El texto de la p. 88 lo menciona como «aproximadamente 48%»</t>
  </si>
  <si>
    <t xml:space="preserve">T04</t>
  </si>
  <si>
    <t xml:space="preserve">Referencia en el anteproyecto: Economía &amp; Región, 9(2), 11–40</t>
  </si>
  <si>
    <t xml:space="preserve">p. 75, pie de página</t>
  </si>
  <si>
    <t xml:space="preserve">Economía &amp; Región, Vol. 9, No. 2, (Cartagena, diciembre 2015), pp. 75-98.</t>
  </si>
  <si>
    <t xml:space="preserve">Páginas reales 75–98; el anteproyecto consigna 11–40</t>
  </si>
  <si>
    <t xml:space="preserve">T05</t>
  </si>
  <si>
    <t xml:space="preserve">32 universidades públicas del SUE, 2003–2012, recursos financieros contra matrícula, con eficiencias sobre 70 %</t>
  </si>
  <si>
    <t xml:space="preserve">maza-avila-2017</t>
  </si>
  <si>
    <t xml:space="preserve">p. 21</t>
  </si>
  <si>
    <t xml:space="preserve">El análisis para 2003-2012 arrojó que la eficiencia promedio en la cobertura de las universidades públicas colombianas se encontró por encima de 70 %, salvo en 2004 cuando se situó en 69.2 %</t>
  </si>
  <si>
    <t xml:space="preserve">Los insumos son cuatro (profesores en tiempos completos equivalentes, gasto en personal administrativo, recursos físicos y recursos financieros) y los productos dos (matrícula de pregrado y de posgrado), no «recursos financieros contra matrícula»; además la eficiencia superó el 70 % salvo en 2004 (69,2 %) · FALTA pasaje propio con página para los cuatro insumos, que son la corrección (sección de selección de inputs y outputs).</t>
  </si>
  <si>
    <t xml:space="preserve">T06</t>
  </si>
  <si>
    <t xml:space="preserve">Crecimiento promedio anual de la productividad del 9 % (Malmquist), impulsado por avances tecnológicos, con diferencias entre región Andina y Caribe</t>
  </si>
  <si>
    <t xml:space="preserve">p. 23</t>
  </si>
  <si>
    <t xml:space="preserve">Los resultados arrojan que, a lo largo del periodo 2003-2012, la productividad ha crecido alrededor de 9 %, debido a mejoras tecnológicas, principalmente 7 %, apoyadas por un incremento de la eficiencia productiva 4 %.</t>
  </si>
  <si>
    <t xml:space="preserve">promedios calculados sobre las nueve filas de la Tabla 5 (2003-2012); tres periodos con IM &lt; 1 · FALTA pasaje con página para las diferencias regionales. En eficiencia la Andina es la más alta y Caribe y Amazonía las más bajas; en crecimiento destacan Pacífica, Amazonía y Orinoquía. Si solo se sostiene en eficiencia, decirlo aquí.</t>
  </si>
  <si>
    <t xml:space="preserve">T07</t>
  </si>
  <si>
    <t xml:space="preserve">La literatura sobre desigualdad territorial en educación colombiana confirma consistentemente autocorrelación espacial en los resultados educativos</t>
  </si>
  <si>
    <t xml:space="preserve">rincon-romero-2025</t>
  </si>
  <si>
    <t xml:space="preserve">p. 269</t>
  </si>
  <si>
    <t xml:space="preserve">Los resultados del índice de Morán son positivos y estadísticamente significativos en las 2 variables, lo que sugiere una autocorrelación espacial positiva. Esto indica que hay una distribución espacial que agrupa a los departamentos con valores altos y bajos con sus similares</t>
  </si>
  <si>
    <t xml:space="preserve">La afirmación entró al anteproyecto sin ninguna cita. Fuente localizada: Moran 0,3577 (2019) y 0,3863 (2023), p&lt;0,01, sobre Saber 11 por departamento. Es educación media, no superior, y es un solo estudio: se elimina «consistentemente» y se acota el alcance</t>
  </si>
  <si>
    <t xml:space="preserve">T08</t>
  </si>
  <si>
    <t xml:space="preserve">El índice de Malmquist descompone el cambio de productividad entre dos periodos en cambio de eficiencia técnica (catching up) y cambio técnico (desplazamiento de la frontera)</t>
  </si>
  <si>
    <t xml:space="preserve">vazquez-perez-esparrells-2016</t>
  </si>
  <si>
    <t xml:space="preserve">p. 200</t>
  </si>
  <si>
    <t xml:space="preserve">El primer término (CET) mide el cambio en la eficiencia técnica o el efecto catching up, esto es, el grado de convergencia con la frontera de posibilidades de producción que experimenta la observación analizada en los dos períodos. El segundo término (CT)  la media geométrica de las
dos razones incluidas en los corchetes, mide el cambio en la tecnología o el efecto shift frontier durante los dos períodos de tiempo, es decir, si la frontera se está desplazando a lo largo de
tiempo.</t>
  </si>
  <si>
    <t xml:space="preserve">reemplaza a Färe et al. (1994), no conseguido en texto completo. El mismo artículo justifica la media geométrica de los dos índices y el uso de rendimientos constantes a escala para el Malmquist</t>
  </si>
  <si>
    <t xml:space="preserve">T09</t>
  </si>
  <si>
    <t xml:space="preserve">Eduar</t>
  </si>
  <si>
    <t xml:space="preserve">Revisión sistemática de 38 estudios (2001–2023); agenda pendiente: variables ambientales</t>
  </si>
  <si>
    <t xml:space="preserve">almeida-2024</t>
  </si>
  <si>
    <t xml:space="preserve">p. 1</t>
  </si>
  <si>
    <t xml:space="preserve">Our study surveys publications on DEA from 2001 to 2023, considering 38 papers. This study confirms DEA as a robust methodology for evaluating university efficiency, highlighting the need for future research to integrate qualitative analyses, examine institutional goal alignment, and incorporate qualitative and environmental factors in the models.</t>
  </si>
  <si>
    <t xml:space="preserve">T10</t>
  </si>
  <si>
    <t xml:space="preserve">El DEA es hoy la técnica dominante para medir eficiencia universitaria</t>
  </si>
  <si>
    <t xml:space="preserve">p. 2</t>
  </si>
  <si>
    <t xml:space="preserve">Exploring the worldwide literature of efficiency frontiers in university systems between 1997 to 2019, Ferro &amp; D’elia (2020) observed that over 50% of papers used data envelopment analysis (DEA) models to estimate efficiency. As the urgency for performance evaluation of universities relies on finding an accurate model, DEA is currently acknowledged as the well-known, most potent, and most used evaluation methodology in various areas as it can also be suitable for universities</t>
  </si>
  <si>
    <t xml:space="preserve">La fuente respalda «la más usada»: el &gt;50 % es un dato de Ferro y D'Elia (2020) sobre 1997–2019, reportado por Almeida (fuente secundaria).</t>
  </si>
  <si>
    <t xml:space="preserve">T11</t>
  </si>
  <si>
    <t xml:space="preserve">Formula el DEA como modelo de programación lineal para evaluar entidades sin fines de lucro</t>
  </si>
  <si>
    <t xml:space="preserve">charnes-1978</t>
  </si>
  <si>
    <t xml:space="preserve">p. 429</t>
  </si>
  <si>
    <t xml:space="preserve">A nonlinear (nonconvex) programming model provides a new definition of efficiency for use in evaluating activities of not-for-profit entities participating in public programs. A scalar measure of the efficiency of each participating unit is thereby provided, along with methods for objectively determining weights by reference to the observational data for the multiple outputs and multiple inputs that characterize such programs. Equivalences are established to ordinary linear programming models for effecting computations.</t>
  </si>
  <si>
    <t xml:space="preserve">La fuente lo formula como modelo no lineal (no convexo) con equivalencia a programación lineal ordinaria; la afirmación lo simplifica.</t>
  </si>
  <si>
    <t xml:space="preserve">T12</t>
  </si>
  <si>
    <t xml:space="preserve">Estima Malmquist con bootstrap para 266 instituciones públicas de 7 países europeos y evalúa la significancia de los cambios</t>
  </si>
  <si>
    <t xml:space="preserve">parteka-2013</t>
  </si>
  <si>
    <t xml:space="preserve">p. 67</t>
  </si>
  <si>
    <t xml:space="preserve">This study examines patterns of productivity change in a large set of 266 public higher education institutions (HEIs) in 7 European countries across the time period 2001–2005. We adopt consistent bootstrap estimation procedures to obtain confidence intervals for Malmquist indices of HEI productivity and their components. Consequently, we are able to assess the statistical significance of changes in HEI productivity, efficiency and technology.</t>
  </si>
  <si>
    <t xml:space="preserve">T13</t>
  </si>
  <si>
    <t xml:space="preserve">Formula la adaptación consistente del bootstrap a estimaciones DEA: estima el sesgo y construye intervalos de confianza</t>
  </si>
  <si>
    <t xml:space="preserve">simar-wilson-1998</t>
  </si>
  <si>
    <t xml:space="preserve">p. 51</t>
  </si>
  <si>
    <t xml:space="preserve">The key expression (2.11) allows us to estimate the bias of \hat{\theta}_k, the original estimator of \theta_k... Finally, the empirical distribution of \hat{\theta}^*_{k,b}, b = 1, . . . , B provides, after correction for bias, confidence intervals for \theta_k.</t>
  </si>
  <si>
    <t xml:space="preserve">T14</t>
  </si>
  <si>
    <t xml:space="preserve">Extiende el bootstrap a los índices de Malmquist</t>
  </si>
  <si>
    <t xml:space="preserve">simar-wilson-1999</t>
  </si>
  <si>
    <t xml:space="preserve">No</t>
  </si>
  <si>
    <t xml:space="preserve">Fuente no conseguida</t>
  </si>
  <si>
    <t xml:space="preserve">buscado en: Google Scholar, Crossref, EJOR</t>
  </si>
  <si>
    <t xml:space="preserve">T15</t>
  </si>
  <si>
    <t xml:space="preserve">Un estudio de metafrontera en 122 universidades públicas y privadas no encontró diferencias significativas de eficiencia por tipo de gestión, identificando la región geográfica como factor más determinante</t>
  </si>
  <si>
    <t xml:space="preserve">morales-pinero-2022</t>
  </si>
  <si>
    <t xml:space="preserve">p. 2 (resumen) y p. 14 (Análisis de Clúster y Anova)</t>
  </si>
  <si>
    <t xml:space="preserve">Aunque no fue posible comprobar diferencias significativas entre la gestión pública y la privada de las universidades, sí se pudieron evidenciar escenarios donde la política pública puede ayudar a mejorar el desempeño del sistema, atendiendo diferencias por el tipo de propiedad y la ubicación geográfica. [p. 14:] El mismo ejercicio se hizo comparando los departamentos, pero ninguna variable registró diferencias significativas. Sin embargo, se evidencia que al 95 % de confianza, los resultados del examen Saber-Pro sí muestran una diferencia significativa entre las distintas áreas geográficas.</t>
  </si>
  <si>
    <t xml:space="preserve">La primera parte se sostiene. La segunda no: al comparar por departamentos ninguna variable registró diferencias significativas, salvo Saber Pro al 95 %; el artículo no presenta la región como «factor más determinante».</t>
  </si>
  <si>
    <t xml:space="preserve">T16</t>
  </si>
  <si>
    <t xml:space="preserve">Anderson</t>
  </si>
  <si>
    <t xml:space="preserve">Señala que no se habían identificado investigaciones que evaluaran la eficiencia de las universidades colombianas con estas metodologías</t>
  </si>
  <si>
    <t xml:space="preserve">melo-becerra-2017</t>
  </si>
  <si>
    <t xml:space="preserve">p. 62</t>
  </si>
  <si>
    <t xml:space="preserve">Para educación superior no se identificaron investigaciones que evalúen la eficiencia de las universidades y otras instituciones técnicas o tecnológicas.</t>
  </si>
  <si>
    <t xml:space="preserve">La fuente no restringe la afirmación «con estas metodologías»: el anteproyecto añade esa acotación. Además, en el artículo la frase viene precedida de que los estudios nacionales se concentraban en básica y media, de modo que se refiere al alcance de su propia revisión</t>
  </si>
  <si>
    <t xml:space="preserve">T17</t>
  </si>
  <si>
    <t xml:space="preserve">Incorpora el desempeño en Saber Pro como variable de producto en un modelo DEA para universidades colombianas</t>
  </si>
  <si>
    <t xml:space="preserve">p.59</t>
  </si>
  <si>
    <t xml:space="preserve">Para el análisis de eficiencia se utilizan técnicas de frontera estocástica y los resultados de las pruebas Saber Pro.</t>
  </si>
  <si>
    <t xml:space="preserve">Dato real: frontera estocástica, no DEA. Afirmación proveniente del borrador ampliado del estado del arte, no del anteproyecto entregado</t>
  </si>
  <si>
    <t xml:space="preserve">T18</t>
  </si>
  <si>
    <t xml:space="preserve">Evalúa 32 universidades públicas colombianas con modelos CCR, BCC y SBM orientados al producto, desagregando ineficiencia técnica, de escala y de mezcla</t>
  </si>
  <si>
    <t xml:space="preserve">visbal-cadavid-2017</t>
  </si>
  <si>
    <t xml:space="preserve">p. 8</t>
  </si>
  <si>
    <t xml:space="preserve">pure technical, technical, scale and mix efficiencies of 32 public universities within the Colombian Public University System from data for 2012, using DEA CCR, BCC and SBM models with an output orientation.</t>
  </si>
  <si>
    <t xml:space="preserve">La misma cita confirma que los datos son de 2012 y no de 2017, año de publicación</t>
  </si>
  <si>
    <t xml:space="preserve">T19</t>
  </si>
  <si>
    <t xml:space="preserve">Usa el quintil superior de Saber Pro como producto; casi todas las ineficientes requerían mejorar ese resultado para alcanzar la frontera</t>
  </si>
  <si>
    <t xml:space="preserve">p. 9</t>
  </si>
  <si>
    <t xml:space="preserve">The third output is a measure of the quality of graduates (number of students with Saber PRO exam results in the top quintile).</t>
  </si>
  <si>
    <t xml:space="preserve">FALTA pasaje con página que sostenga «casi todas las ineficientes requerían mejorar ese resultado». Si no aparece, pasar a Corregir o No se sostiene.</t>
  </si>
  <si>
    <t xml:space="preserve">T20</t>
  </si>
  <si>
    <t xml:space="preserve">Descompone la eficiencia en una componente del estudiante y otra de la institución, con ENADE 2012 y 2015 y control socioeconómico</t>
  </si>
  <si>
    <t xml:space="preserve">marques-2020</t>
  </si>
  <si>
    <t xml:space="preserve">p. 157 (resumen) y p. 179 (Considerações finais)</t>
  </si>
  <si>
    <t xml:space="preserve">com base nas notas do Exame Nacional de Desempenho dos Estudantes (Enade) em 2012 e 2015. O estudo contribui com a literatura, ao utilizar uma nova abordagem, que decompõe a análise envoltória de dados em dois componentes [p. 179:] Na primeira parte, aplicou-se o modelo de regressão linear, tendo como base o questionário socioeconômico dos alunos graduandos no Enade de 2012 e 2015, visando ao controle destes fatores no desempenho dos alunos.</t>
  </si>
  <si>
    <t xml:space="preserve">Clave unificada a marques-2020: el número de la revista es de 2020, aunque el generador de citas del sitio registra 2021. El segundo pasaje (p. 179) sostiene el control socioeconómico.</t>
  </si>
  <si>
    <t xml:space="preserve">T21</t>
  </si>
  <si>
    <t xml:space="preserve">32 universidades públicas mexicanas (2012): con bootstrap la eficiencia baja de 0,87 a 0,77 (VRS) y de 0,80 a 0,71 (CRS); ninguna resulta eficiente</t>
  </si>
  <si>
    <t xml:space="preserve">navarro-chavez-2016</t>
  </si>
  <si>
    <t xml:space="preserve">p. 65</t>
  </si>
  <si>
    <t xml:space="preserve">el promedio de la eficiencia técnica con rendimientos variables del modelo original es de 0.87, y con la aplicación del bootstrap es de 0.77, y en el caso de la eficiencia con rendimientos constantes el modelo original tuvo un promedio de eficiencia del 0.80 y con el bootstrap aplicado fue de 0.71.</t>
  </si>
  <si>
    <t xml:space="preserve">FALTA pasaje que sostenga «ninguna resulta eficiente» (está en el resumen del artículo).</t>
  </si>
  <si>
    <t xml:space="preserve">Resumen (se calcula solo)</t>
  </si>
  <si>
    <t xml:space="preserve">Por estado</t>
  </si>
  <si>
    <t xml:space="preserve">Pendiente</t>
  </si>
  <si>
    <t xml:space="preserve">No se sostiene</t>
  </si>
  <si>
    <t xml:space="preserve">Total de afirmaciones</t>
  </si>
  <si>
    <t xml:space="preserve">Por integrante</t>
  </si>
  <si>
    <t xml:space="preserve">Verificadas</t>
  </si>
  <si>
    <t xml:space="preserve">Asignadas</t>
  </si>
  <si>
    <t xml:space="preserve">Van a la memoria (corregidas o sin sustento)</t>
  </si>
  <si>
    <t xml:space="preserve">PDF por conseguir</t>
  </si>
</sst>
</file>

<file path=xl/styles.xml><?xml version="1.0" encoding="utf-8"?>
<styleSheet xmlns="http://schemas.openxmlformats.org/spreadsheetml/2006/main">
  <numFmts count="3">
    <numFmt numFmtId="164" formatCode="General"/>
    <numFmt numFmtId="165" formatCode="dd/mm/yyyy"/>
    <numFmt numFmtId="166" formatCode="General"/>
  </numFmts>
  <fonts count="9">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b val="true"/>
      <sz val="11"/>
      <color rgb="FFFFFFFF"/>
      <name val="Arial"/>
      <family val="0"/>
      <charset val="1"/>
    </font>
    <font>
      <sz val="10"/>
      <color rgb="FF000000"/>
      <name val="Arial"/>
      <family val="0"/>
      <charset val="1"/>
    </font>
  </fonts>
  <fills count="6">
    <fill>
      <patternFill patternType="none"/>
    </fill>
    <fill>
      <patternFill patternType="gray125"/>
    </fill>
    <fill>
      <patternFill patternType="solid">
        <fgColor rgb="FF3D008D"/>
        <bgColor rgb="FF000080"/>
      </patternFill>
    </fill>
    <fill>
      <patternFill patternType="solid">
        <fgColor rgb="FFD9EAD3"/>
        <bgColor rgb="FFFCE5CD"/>
      </patternFill>
    </fill>
    <fill>
      <patternFill patternType="solid">
        <fgColor rgb="FFFFF2A8"/>
        <bgColor rgb="FFFCE5CD"/>
      </patternFill>
    </fill>
    <fill>
      <patternFill patternType="solid">
        <fgColor rgb="FFFCE5CD"/>
        <bgColor rgb="FFFFF2A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5" fontId="5" fillId="4"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5CD"/>
      <rgbColor rgb="FFCCFFFF"/>
      <rgbColor rgb="FF3D008D"/>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2A8"/>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115"/>
  </cols>
  <sheetData>
    <row r="1" customFormat="false" ht="15.75" hidden="false" customHeight="tru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row>
    <row r="11" customFormat="false" ht="15" hidden="false" customHeight="false" outlineLevel="0" collapsed="false">
      <c r="A11" s="3" t="s">
        <v>7</v>
      </c>
    </row>
    <row r="12" customFormat="false" ht="15" hidden="false" customHeight="false" outlineLevel="0" collapsed="false">
      <c r="A12" s="2" t="s">
        <v>8</v>
      </c>
    </row>
    <row r="13" customFormat="false" ht="15" hidden="false" customHeight="false" outlineLevel="0" collapsed="false">
      <c r="A13" s="2" t="s">
        <v>9</v>
      </c>
    </row>
    <row r="14" customFormat="false" ht="15" hidden="false" customHeight="false" outlineLevel="0" collapsed="false">
      <c r="A14" s="2" t="s">
        <v>10</v>
      </c>
    </row>
    <row r="15" customFormat="false" ht="15" hidden="false" customHeight="false" outlineLevel="0" collapsed="false">
      <c r="A15" s="2" t="s">
        <v>11</v>
      </c>
    </row>
    <row r="16" customFormat="false" ht="15" hidden="false" customHeight="false" outlineLevel="0" collapsed="false">
      <c r="A16" s="2"/>
    </row>
    <row r="17" customFormat="false" ht="15" hidden="false" customHeight="false" outlineLevel="0" collapsed="false">
      <c r="A17" s="3" t="s">
        <v>12</v>
      </c>
    </row>
    <row r="18" customFormat="false" ht="15" hidden="false" customHeight="false" outlineLevel="0" collapsed="false">
      <c r="A18" s="2" t="s">
        <v>13</v>
      </c>
    </row>
    <row r="19" customFormat="false" ht="15" hidden="false" customHeight="false" outlineLevel="0" collapsed="false">
      <c r="A19" s="2" t="s">
        <v>14</v>
      </c>
    </row>
    <row r="20" customFormat="false" ht="15" hidden="false" customHeight="false" outlineLevel="0" collapsed="false">
      <c r="A20" s="2"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12" activePane="bottomRight" state="frozen"/>
      <selection pane="topLeft" activeCell="A1" activeCellId="0" sqref="A1"/>
      <selection pane="topRight" activeCell="C1" activeCellId="0" sqref="C1"/>
      <selection pane="bottomLeft" activeCell="A12" activeCellId="0" sqref="A12"/>
      <selection pane="bottomRight" activeCell="O19" activeCellId="0" sqref="O19"/>
    </sheetView>
  </sheetViews>
  <sheetFormatPr defaultColWidth="8.714843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56"/>
    <col collapsed="false" customWidth="true" hidden="false" outlineLevel="0" max="4" min="4" style="0" width="30.71"/>
    <col collapsed="false" customWidth="true" hidden="false" outlineLevel="0" max="5" min="5" style="0" width="10"/>
    <col collapsed="false" customWidth="true" hidden="false" outlineLevel="0" max="6" min="6" style="0" width="17"/>
    <col collapsed="false" customWidth="true" hidden="false" outlineLevel="0" max="7" min="7" style="0" width="50"/>
    <col collapsed="false" customWidth="true" hidden="false" outlineLevel="0" max="8" min="8" style="0" width="22"/>
    <col collapsed="false" customWidth="true" hidden="false" outlineLevel="0" max="9" min="9" style="0" width="40"/>
    <col collapsed="false" customWidth="true" hidden="false" outlineLevel="0" max="10" min="10" style="0" width="13"/>
    <col collapsed="false" customWidth="true" hidden="false" outlineLevel="0" max="11" min="11" style="0" width="12.57"/>
  </cols>
  <sheetData>
    <row r="1" customFormat="false" ht="26.25" hidden="false" customHeight="true" outlineLevel="0" collapsed="false">
      <c r="A1" s="4" t="s">
        <v>16</v>
      </c>
      <c r="B1" s="4" t="s">
        <v>17</v>
      </c>
      <c r="C1" s="4" t="s">
        <v>18</v>
      </c>
      <c r="D1" s="4" t="s">
        <v>19</v>
      </c>
      <c r="E1" s="4" t="s">
        <v>20</v>
      </c>
      <c r="F1" s="4" t="s">
        <v>21</v>
      </c>
      <c r="G1" s="4" t="s">
        <v>22</v>
      </c>
      <c r="H1" s="4" t="s">
        <v>23</v>
      </c>
      <c r="I1" s="4" t="s">
        <v>24</v>
      </c>
      <c r="J1" s="4" t="s">
        <v>25</v>
      </c>
      <c r="K1" s="4" t="s">
        <v>26</v>
      </c>
    </row>
    <row r="2" customFormat="false" ht="63.75" hidden="false" customHeight="true" outlineLevel="0" collapsed="false">
      <c r="A2" s="5" t="s">
        <v>27</v>
      </c>
      <c r="B2" s="5" t="s">
        <v>28</v>
      </c>
      <c r="C2" s="5" t="s">
        <v>29</v>
      </c>
      <c r="D2" s="5" t="s">
        <v>30</v>
      </c>
      <c r="E2" s="6" t="s">
        <v>31</v>
      </c>
      <c r="F2" s="7" t="s">
        <v>32</v>
      </c>
      <c r="G2" s="7" t="s">
        <v>33</v>
      </c>
      <c r="H2" s="7" t="s">
        <v>34</v>
      </c>
      <c r="I2" s="5" t="s">
        <v>35</v>
      </c>
      <c r="J2" s="7" t="s">
        <v>28</v>
      </c>
      <c r="K2" s="8" t="n">
        <v>46291</v>
      </c>
    </row>
    <row r="3" customFormat="false" ht="63.75" hidden="false" customHeight="true" outlineLevel="0" collapsed="false">
      <c r="A3" s="5" t="s">
        <v>36</v>
      </c>
      <c r="B3" s="5" t="s">
        <v>28</v>
      </c>
      <c r="C3" s="5" t="s">
        <v>37</v>
      </c>
      <c r="D3" s="5" t="s">
        <v>30</v>
      </c>
      <c r="E3" s="6" t="s">
        <v>31</v>
      </c>
      <c r="F3" s="7" t="s">
        <v>38</v>
      </c>
      <c r="G3" s="7" t="s">
        <v>39</v>
      </c>
      <c r="H3" s="7" t="s">
        <v>40</v>
      </c>
      <c r="I3" s="7" t="s">
        <v>41</v>
      </c>
      <c r="J3" s="7" t="s">
        <v>28</v>
      </c>
      <c r="K3" s="8" t="n">
        <v>46291</v>
      </c>
    </row>
    <row r="4" customFormat="false" ht="51.75" hidden="false" customHeight="true" outlineLevel="0" collapsed="false">
      <c r="A4" s="5" t="s">
        <v>42</v>
      </c>
      <c r="B4" s="5" t="s">
        <v>28</v>
      </c>
      <c r="C4" s="5" t="s">
        <v>43</v>
      </c>
      <c r="D4" s="5" t="s">
        <v>30</v>
      </c>
      <c r="E4" s="6" t="s">
        <v>31</v>
      </c>
      <c r="F4" s="7" t="s">
        <v>44</v>
      </c>
      <c r="G4" s="7" t="s">
        <v>45</v>
      </c>
      <c r="H4" s="7" t="s">
        <v>40</v>
      </c>
      <c r="I4" s="5" t="s">
        <v>46</v>
      </c>
      <c r="J4" s="7" t="s">
        <v>28</v>
      </c>
      <c r="K4" s="8" t="n">
        <v>46291</v>
      </c>
    </row>
    <row r="5" customFormat="false" ht="51.75" hidden="false" customHeight="true" outlineLevel="0" collapsed="false">
      <c r="A5" s="5" t="s">
        <v>47</v>
      </c>
      <c r="B5" s="5" t="s">
        <v>28</v>
      </c>
      <c r="C5" s="5" t="s">
        <v>48</v>
      </c>
      <c r="D5" s="5" t="s">
        <v>30</v>
      </c>
      <c r="E5" s="6" t="s">
        <v>31</v>
      </c>
      <c r="F5" s="7" t="s">
        <v>49</v>
      </c>
      <c r="G5" s="7" t="s">
        <v>50</v>
      </c>
      <c r="H5" s="7" t="s">
        <v>34</v>
      </c>
      <c r="I5" s="5" t="s">
        <v>51</v>
      </c>
      <c r="J5" s="7" t="s">
        <v>28</v>
      </c>
      <c r="K5" s="8" t="n">
        <v>46291</v>
      </c>
    </row>
    <row r="6" customFormat="false" ht="106.5" hidden="false" customHeight="true" outlineLevel="0" collapsed="false">
      <c r="A6" s="5" t="s">
        <v>52</v>
      </c>
      <c r="B6" s="5" t="s">
        <v>28</v>
      </c>
      <c r="C6" s="5" t="s">
        <v>53</v>
      </c>
      <c r="D6" s="5" t="s">
        <v>54</v>
      </c>
      <c r="E6" s="6" t="s">
        <v>31</v>
      </c>
      <c r="F6" s="7" t="s">
        <v>55</v>
      </c>
      <c r="G6" s="7" t="s">
        <v>56</v>
      </c>
      <c r="H6" s="7" t="s">
        <v>34</v>
      </c>
      <c r="I6" s="7" t="s">
        <v>57</v>
      </c>
      <c r="J6" s="7" t="s">
        <v>28</v>
      </c>
      <c r="K6" s="8" t="n">
        <v>46291</v>
      </c>
    </row>
    <row r="7" customFormat="false" ht="78" hidden="false" customHeight="true" outlineLevel="0" collapsed="false">
      <c r="A7" s="5" t="s">
        <v>58</v>
      </c>
      <c r="B7" s="5" t="s">
        <v>28</v>
      </c>
      <c r="C7" s="5" t="s">
        <v>59</v>
      </c>
      <c r="D7" s="5" t="s">
        <v>54</v>
      </c>
      <c r="E7" s="6" t="s">
        <v>31</v>
      </c>
      <c r="F7" s="7" t="s">
        <v>60</v>
      </c>
      <c r="G7" s="7" t="s">
        <v>61</v>
      </c>
      <c r="H7" s="7" t="s">
        <v>40</v>
      </c>
      <c r="I7" s="7" t="s">
        <v>62</v>
      </c>
      <c r="J7" s="7" t="s">
        <v>28</v>
      </c>
      <c r="K7" s="8" t="n">
        <v>46291</v>
      </c>
    </row>
    <row r="8" customFormat="false" ht="78" hidden="false" customHeight="true" outlineLevel="0" collapsed="false">
      <c r="A8" s="5" t="s">
        <v>63</v>
      </c>
      <c r="B8" s="5" t="s">
        <v>28</v>
      </c>
      <c r="C8" s="5" t="s">
        <v>64</v>
      </c>
      <c r="D8" s="2" t="s">
        <v>65</v>
      </c>
      <c r="E8" s="6" t="s">
        <v>31</v>
      </c>
      <c r="F8" s="7" t="s">
        <v>66</v>
      </c>
      <c r="G8" s="7" t="s">
        <v>67</v>
      </c>
      <c r="H8" s="7" t="s">
        <v>34</v>
      </c>
      <c r="I8" s="2" t="s">
        <v>68</v>
      </c>
      <c r="J8" s="7" t="s">
        <v>28</v>
      </c>
      <c r="K8" s="8" t="n">
        <v>46291</v>
      </c>
    </row>
    <row r="9" customFormat="false" ht="143.25" hidden="false" customHeight="true" outlineLevel="0" collapsed="false">
      <c r="A9" s="5" t="s">
        <v>69</v>
      </c>
      <c r="B9" s="5" t="s">
        <v>28</v>
      </c>
      <c r="C9" s="5" t="s">
        <v>70</v>
      </c>
      <c r="D9" s="9" t="s">
        <v>71</v>
      </c>
      <c r="E9" s="6" t="s">
        <v>31</v>
      </c>
      <c r="F9" s="7" t="s">
        <v>72</v>
      </c>
      <c r="G9" s="7" t="s">
        <v>73</v>
      </c>
      <c r="H9" s="7" t="s">
        <v>40</v>
      </c>
      <c r="I9" s="10" t="s">
        <v>74</v>
      </c>
      <c r="J9" s="7" t="s">
        <v>28</v>
      </c>
      <c r="K9" s="8" t="n">
        <v>46291</v>
      </c>
    </row>
    <row r="10" customFormat="false" ht="106.5" hidden="false" customHeight="true" outlineLevel="0" collapsed="false">
      <c r="A10" s="5" t="s">
        <v>75</v>
      </c>
      <c r="B10" s="5" t="s">
        <v>76</v>
      </c>
      <c r="C10" s="5" t="s">
        <v>77</v>
      </c>
      <c r="D10" s="5" t="s">
        <v>78</v>
      </c>
      <c r="E10" s="6" t="s">
        <v>31</v>
      </c>
      <c r="F10" s="7" t="s">
        <v>79</v>
      </c>
      <c r="G10" s="7" t="s">
        <v>80</v>
      </c>
      <c r="H10" s="7" t="s">
        <v>40</v>
      </c>
      <c r="I10" s="5"/>
      <c r="J10" s="7" t="s">
        <v>76</v>
      </c>
      <c r="K10" s="8" t="n">
        <v>46291</v>
      </c>
    </row>
    <row r="11" customFormat="false" ht="128.25" hidden="false" customHeight="true" outlineLevel="0" collapsed="false">
      <c r="A11" s="5" t="s">
        <v>81</v>
      </c>
      <c r="B11" s="5" t="s">
        <v>76</v>
      </c>
      <c r="C11" s="5" t="s">
        <v>82</v>
      </c>
      <c r="D11" s="5" t="s">
        <v>78</v>
      </c>
      <c r="E11" s="6" t="s">
        <v>31</v>
      </c>
      <c r="F11" s="7" t="s">
        <v>83</v>
      </c>
      <c r="G11" s="7" t="s">
        <v>84</v>
      </c>
      <c r="H11" s="7" t="s">
        <v>40</v>
      </c>
      <c r="I11" s="5" t="s">
        <v>85</v>
      </c>
      <c r="J11" s="7" t="s">
        <v>76</v>
      </c>
      <c r="K11" s="8" t="n">
        <v>46291</v>
      </c>
    </row>
    <row r="12" customFormat="false" ht="137.25" hidden="false" customHeight="true" outlineLevel="0" collapsed="false">
      <c r="A12" s="5" t="s">
        <v>86</v>
      </c>
      <c r="B12" s="5" t="s">
        <v>76</v>
      </c>
      <c r="C12" s="5" t="s">
        <v>87</v>
      </c>
      <c r="D12" s="5" t="s">
        <v>88</v>
      </c>
      <c r="E12" s="6" t="s">
        <v>31</v>
      </c>
      <c r="F12" s="7" t="s">
        <v>89</v>
      </c>
      <c r="G12" s="7" t="s">
        <v>90</v>
      </c>
      <c r="H12" s="7" t="s">
        <v>40</v>
      </c>
      <c r="I12" s="5" t="s">
        <v>91</v>
      </c>
      <c r="J12" s="7" t="s">
        <v>76</v>
      </c>
      <c r="K12" s="8" t="n">
        <v>46291</v>
      </c>
    </row>
    <row r="13" customFormat="false" ht="115.5" hidden="false" customHeight="true" outlineLevel="0" collapsed="false">
      <c r="A13" s="5" t="s">
        <v>92</v>
      </c>
      <c r="B13" s="5" t="s">
        <v>76</v>
      </c>
      <c r="C13" s="5" t="s">
        <v>93</v>
      </c>
      <c r="D13" s="5" t="s">
        <v>94</v>
      </c>
      <c r="E13" s="6" t="s">
        <v>31</v>
      </c>
      <c r="F13" s="7" t="s">
        <v>95</v>
      </c>
      <c r="G13" s="7" t="s">
        <v>96</v>
      </c>
      <c r="H13" s="7" t="s">
        <v>40</v>
      </c>
      <c r="I13" s="5"/>
      <c r="J13" s="7" t="s">
        <v>76</v>
      </c>
      <c r="K13" s="8" t="n">
        <v>46291</v>
      </c>
    </row>
    <row r="14" customFormat="false" ht="103.5" hidden="false" customHeight="true" outlineLevel="0" collapsed="false">
      <c r="A14" s="5" t="s">
        <v>97</v>
      </c>
      <c r="B14" s="5" t="s">
        <v>76</v>
      </c>
      <c r="C14" s="5" t="s">
        <v>98</v>
      </c>
      <c r="D14" s="5" t="s">
        <v>99</v>
      </c>
      <c r="E14" s="6" t="s">
        <v>31</v>
      </c>
      <c r="F14" s="7" t="s">
        <v>100</v>
      </c>
      <c r="G14" s="7" t="s">
        <v>101</v>
      </c>
      <c r="H14" s="7" t="s">
        <v>40</v>
      </c>
      <c r="I14" s="5"/>
      <c r="J14" s="7" t="s">
        <v>76</v>
      </c>
      <c r="K14" s="8" t="n">
        <v>46291</v>
      </c>
    </row>
    <row r="15" customFormat="false" ht="51.75" hidden="false" customHeight="true" outlineLevel="0" collapsed="false">
      <c r="A15" s="5" t="s">
        <v>102</v>
      </c>
      <c r="B15" s="5" t="s">
        <v>76</v>
      </c>
      <c r="C15" s="5" t="s">
        <v>103</v>
      </c>
      <c r="D15" s="5" t="s">
        <v>104</v>
      </c>
      <c r="E15" s="11" t="s">
        <v>105</v>
      </c>
      <c r="F15" s="7"/>
      <c r="G15" s="7"/>
      <c r="H15" s="7" t="s">
        <v>106</v>
      </c>
      <c r="I15" s="5" t="s">
        <v>107</v>
      </c>
      <c r="J15" s="7" t="s">
        <v>76</v>
      </c>
      <c r="K15" s="8" t="n">
        <v>46291</v>
      </c>
    </row>
    <row r="16" customFormat="false" ht="51.75" hidden="false" customHeight="true" outlineLevel="0" collapsed="false">
      <c r="A16" s="5" t="s">
        <v>108</v>
      </c>
      <c r="B16" s="5" t="s">
        <v>76</v>
      </c>
      <c r="C16" s="12" t="s">
        <v>109</v>
      </c>
      <c r="D16" s="10" t="s">
        <v>110</v>
      </c>
      <c r="E16" s="6" t="s">
        <v>31</v>
      </c>
      <c r="F16" s="7" t="s">
        <v>111</v>
      </c>
      <c r="G16" s="7" t="s">
        <v>112</v>
      </c>
      <c r="H16" s="7" t="s">
        <v>34</v>
      </c>
      <c r="I16" s="5" t="s">
        <v>113</v>
      </c>
      <c r="J16" s="7" t="s">
        <v>76</v>
      </c>
      <c r="K16" s="8" t="n">
        <v>46294</v>
      </c>
    </row>
    <row r="17" customFormat="false" ht="51.75" hidden="false" customHeight="true" outlineLevel="0" collapsed="false">
      <c r="A17" s="5" t="s">
        <v>114</v>
      </c>
      <c r="B17" s="5" t="s">
        <v>115</v>
      </c>
      <c r="C17" s="5" t="s">
        <v>116</v>
      </c>
      <c r="D17" s="5" t="s">
        <v>117</v>
      </c>
      <c r="E17" s="6" t="s">
        <v>31</v>
      </c>
      <c r="F17" s="7" t="s">
        <v>118</v>
      </c>
      <c r="G17" s="7" t="s">
        <v>119</v>
      </c>
      <c r="H17" s="7" t="s">
        <v>34</v>
      </c>
      <c r="I17" s="5" t="s">
        <v>120</v>
      </c>
      <c r="J17" s="7" t="s">
        <v>115</v>
      </c>
      <c r="K17" s="8" t="n">
        <v>46292</v>
      </c>
    </row>
    <row r="18" customFormat="false" ht="51.75" hidden="false" customHeight="true" outlineLevel="0" collapsed="false">
      <c r="A18" s="5" t="s">
        <v>121</v>
      </c>
      <c r="B18" s="5" t="s">
        <v>115</v>
      </c>
      <c r="C18" s="5" t="s">
        <v>122</v>
      </c>
      <c r="D18" s="5" t="s">
        <v>117</v>
      </c>
      <c r="E18" s="6" t="s">
        <v>31</v>
      </c>
      <c r="F18" s="7" t="s">
        <v>123</v>
      </c>
      <c r="G18" s="7" t="s">
        <v>124</v>
      </c>
      <c r="H18" s="7" t="s">
        <v>34</v>
      </c>
      <c r="I18" s="5" t="s">
        <v>125</v>
      </c>
      <c r="J18" s="7" t="s">
        <v>115</v>
      </c>
      <c r="K18" s="8" t="n">
        <v>46292</v>
      </c>
    </row>
    <row r="19" customFormat="false" ht="69.75" hidden="false" customHeight="true" outlineLevel="0" collapsed="false">
      <c r="A19" s="5" t="s">
        <v>126</v>
      </c>
      <c r="B19" s="5" t="s">
        <v>115</v>
      </c>
      <c r="C19" s="5" t="s">
        <v>127</v>
      </c>
      <c r="D19" s="5" t="s">
        <v>128</v>
      </c>
      <c r="E19" s="6" t="s">
        <v>31</v>
      </c>
      <c r="F19" s="7" t="s">
        <v>129</v>
      </c>
      <c r="G19" s="7" t="s">
        <v>130</v>
      </c>
      <c r="H19" s="7" t="s">
        <v>40</v>
      </c>
      <c r="I19" s="5" t="s">
        <v>131</v>
      </c>
      <c r="J19" s="7" t="s">
        <v>115</v>
      </c>
      <c r="K19" s="8" t="n">
        <v>46292</v>
      </c>
    </row>
    <row r="20" customFormat="false" ht="81.75" hidden="false" customHeight="true" outlineLevel="0" collapsed="false">
      <c r="A20" s="5" t="s">
        <v>132</v>
      </c>
      <c r="B20" s="5" t="s">
        <v>115</v>
      </c>
      <c r="C20" s="5" t="s">
        <v>133</v>
      </c>
      <c r="D20" s="5" t="s">
        <v>128</v>
      </c>
      <c r="E20" s="6" t="s">
        <v>31</v>
      </c>
      <c r="F20" s="7" t="s">
        <v>134</v>
      </c>
      <c r="G20" s="7" t="s">
        <v>135</v>
      </c>
      <c r="H20" s="7" t="s">
        <v>40</v>
      </c>
      <c r="I20" s="7" t="s">
        <v>136</v>
      </c>
      <c r="J20" s="7" t="s">
        <v>115</v>
      </c>
      <c r="K20" s="8" t="n">
        <v>46292</v>
      </c>
    </row>
    <row r="21" customFormat="false" ht="81.75" hidden="false" customHeight="true" outlineLevel="0" collapsed="false">
      <c r="A21" s="5" t="s">
        <v>137</v>
      </c>
      <c r="B21" s="5" t="s">
        <v>115</v>
      </c>
      <c r="C21" s="5" t="s">
        <v>138</v>
      </c>
      <c r="D21" s="5" t="s">
        <v>139</v>
      </c>
      <c r="E21" s="6" t="s">
        <v>31</v>
      </c>
      <c r="F21" s="7" t="s">
        <v>140</v>
      </c>
      <c r="G21" s="7" t="s">
        <v>141</v>
      </c>
      <c r="H21" s="7" t="s">
        <v>40</v>
      </c>
      <c r="I21" s="5" t="s">
        <v>142</v>
      </c>
      <c r="J21" s="7" t="s">
        <v>115</v>
      </c>
      <c r="K21" s="8" t="n">
        <v>46292</v>
      </c>
    </row>
    <row r="22" customFormat="false" ht="83.25" hidden="false" customHeight="true" outlineLevel="0" collapsed="false">
      <c r="A22" s="5" t="s">
        <v>143</v>
      </c>
      <c r="B22" s="5" t="s">
        <v>115</v>
      </c>
      <c r="C22" s="5" t="s">
        <v>144</v>
      </c>
      <c r="D22" s="5" t="s">
        <v>145</v>
      </c>
      <c r="E22" s="6" t="s">
        <v>31</v>
      </c>
      <c r="F22" s="7" t="s">
        <v>146</v>
      </c>
      <c r="G22" s="13" t="s">
        <v>147</v>
      </c>
      <c r="H22" s="7" t="s">
        <v>40</v>
      </c>
      <c r="I22" s="7" t="s">
        <v>148</v>
      </c>
      <c r="J22" s="7" t="s">
        <v>115</v>
      </c>
      <c r="K22" s="8" t="n">
        <v>46292</v>
      </c>
    </row>
    <row r="23" customFormat="false" ht="15" hidden="false" customHeight="false" outlineLevel="0" collapsed="false">
      <c r="A23" s="7"/>
      <c r="B23" s="7"/>
      <c r="C23" s="7"/>
      <c r="D23" s="7"/>
      <c r="E23" s="7"/>
      <c r="F23" s="7"/>
      <c r="G23" s="7"/>
      <c r="H23" s="7"/>
      <c r="I23" s="7"/>
      <c r="J23" s="7"/>
      <c r="K23" s="7"/>
    </row>
    <row r="24" customFormat="false" ht="15" hidden="false" customHeight="false" outlineLevel="0" collapsed="false">
      <c r="A24" s="7"/>
      <c r="B24" s="7"/>
      <c r="C24" s="7"/>
      <c r="D24" s="7"/>
      <c r="E24" s="7"/>
      <c r="F24" s="7"/>
      <c r="G24" s="7"/>
      <c r="H24" s="7"/>
      <c r="I24" s="7"/>
      <c r="J24" s="7"/>
      <c r="K24" s="7"/>
    </row>
    <row r="25" customFormat="false" ht="15" hidden="false" customHeight="false" outlineLevel="0" collapsed="false">
      <c r="A25" s="7"/>
      <c r="B25" s="7"/>
      <c r="C25" s="7"/>
      <c r="D25" s="7"/>
      <c r="E25" s="7"/>
      <c r="F25" s="7"/>
      <c r="G25" s="7"/>
      <c r="H25" s="7"/>
      <c r="I25" s="7"/>
      <c r="J25" s="7"/>
      <c r="K25" s="7"/>
    </row>
    <row r="26" customFormat="false" ht="15" hidden="false" customHeight="false" outlineLevel="0" collapsed="false">
      <c r="A26" s="7"/>
      <c r="B26" s="7"/>
      <c r="C26" s="7"/>
      <c r="D26" s="7"/>
      <c r="E26" s="7"/>
      <c r="F26" s="7"/>
      <c r="G26" s="7"/>
      <c r="H26" s="7"/>
      <c r="I26" s="7"/>
      <c r="J26" s="7"/>
      <c r="K26" s="7"/>
    </row>
    <row r="27" customFormat="false" ht="15" hidden="false" customHeight="false" outlineLevel="0" collapsed="false">
      <c r="A27" s="7"/>
      <c r="B27" s="7"/>
      <c r="C27" s="7"/>
      <c r="D27" s="7"/>
      <c r="E27" s="7"/>
      <c r="F27" s="7"/>
      <c r="G27" s="7"/>
      <c r="H27" s="7"/>
      <c r="I27" s="7"/>
      <c r="J27" s="7"/>
      <c r="K27" s="7"/>
    </row>
    <row r="28" customFormat="false" ht="15" hidden="false" customHeight="false" outlineLevel="0" collapsed="false">
      <c r="A28" s="7"/>
      <c r="B28" s="7"/>
      <c r="C28" s="7"/>
      <c r="D28" s="7"/>
      <c r="E28" s="7"/>
      <c r="F28" s="7"/>
      <c r="G28" s="7"/>
      <c r="H28" s="7"/>
      <c r="I28" s="7"/>
      <c r="J28" s="7"/>
      <c r="K28" s="7"/>
    </row>
    <row r="29" customFormat="false" ht="15" hidden="false" customHeight="false" outlineLevel="0" collapsed="false">
      <c r="A29" s="7"/>
      <c r="B29" s="7"/>
      <c r="C29" s="7"/>
      <c r="D29" s="7"/>
      <c r="E29" s="7"/>
      <c r="F29" s="7"/>
      <c r="G29" s="7"/>
      <c r="H29" s="7"/>
      <c r="I29" s="7"/>
      <c r="J29" s="7"/>
      <c r="K29" s="7"/>
    </row>
    <row r="30" customFormat="false" ht="15" hidden="false" customHeight="false" outlineLevel="0" collapsed="false">
      <c r="A30" s="7"/>
      <c r="B30" s="7"/>
      <c r="C30" s="7"/>
      <c r="D30" s="7"/>
      <c r="E30" s="7"/>
      <c r="F30" s="7"/>
      <c r="G30" s="7"/>
      <c r="H30" s="7"/>
      <c r="I30" s="7"/>
      <c r="J30" s="7"/>
      <c r="K30" s="7"/>
    </row>
    <row r="31" customFormat="false" ht="15" hidden="false" customHeight="false" outlineLevel="0" collapsed="false">
      <c r="A31" s="7"/>
      <c r="B31" s="7"/>
      <c r="C31" s="7"/>
      <c r="D31" s="7"/>
      <c r="E31" s="7"/>
      <c r="F31" s="7"/>
      <c r="G31" s="7"/>
      <c r="H31" s="7"/>
      <c r="I31" s="7"/>
      <c r="J31" s="7"/>
      <c r="K31" s="7"/>
    </row>
    <row r="32" customFormat="false" ht="15" hidden="false" customHeight="false" outlineLevel="0" collapsed="false">
      <c r="A32" s="7"/>
      <c r="B32" s="7"/>
      <c r="C32" s="7"/>
      <c r="D32" s="7"/>
      <c r="E32" s="7"/>
      <c r="F32" s="7"/>
      <c r="G32" s="7"/>
      <c r="H32" s="7"/>
      <c r="I32" s="7"/>
      <c r="J32" s="7"/>
      <c r="K32" s="7"/>
    </row>
  </sheetData>
  <dataValidations count="2">
    <dataValidation allowBlank="true" errorStyle="stop" operator="between" showDropDown="false" showErrorMessage="false" showInputMessage="false" sqref="H2:H32" type="list">
      <formula1>"Pendiente,Verificada,Corregir - dato distinto,No se sostiene,Fuente no conseguida"</formula1>
      <formula2>0</formula2>
    </dataValidation>
    <dataValidation allowBlank="true" errorStyle="stop" operator="between" showDropDown="false" showErrorMessage="false" showInputMessage="false" sqref="B2:B32" type="list">
      <formula1>"Isabella,Eduar,Anderson"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40"/>
    <col collapsed="false" customWidth="true" hidden="false" outlineLevel="0" max="3" min="2" style="0" width="12"/>
  </cols>
  <sheetData>
    <row r="1" customFormat="false" ht="15.75" hidden="false" customHeight="true" outlineLevel="0" collapsed="false">
      <c r="A1" s="14" t="s">
        <v>149</v>
      </c>
    </row>
    <row r="3" customFormat="false" ht="15" hidden="false" customHeight="false" outlineLevel="0" collapsed="false">
      <c r="A3" s="15" t="s">
        <v>150</v>
      </c>
    </row>
    <row r="4" customFormat="false" ht="15" hidden="false" customHeight="false" outlineLevel="0" collapsed="false">
      <c r="A4" s="16" t="s">
        <v>151</v>
      </c>
      <c r="B4" s="16" t="n">
        <f aca="false">COUNTIF(Trazabilidad!$H$2:$H$32,"Pendiente")</f>
        <v>0</v>
      </c>
    </row>
    <row r="5" customFormat="false" ht="15" hidden="false" customHeight="false" outlineLevel="0" collapsed="false">
      <c r="A5" s="16" t="s">
        <v>40</v>
      </c>
      <c r="B5" s="16" t="n">
        <f aca="false">COUNTIF(Trazabilidad!$H$2:$H$32,"Verificada")</f>
        <v>13</v>
      </c>
    </row>
    <row r="6" customFormat="false" ht="15" hidden="false" customHeight="false" outlineLevel="0" collapsed="false">
      <c r="A6" s="16" t="s">
        <v>34</v>
      </c>
      <c r="B6" s="16" t="n">
        <f aca="false">COUNTIF(Trazabilidad!$H$2:$H$32,"Corregir - dato distinto")</f>
        <v>7</v>
      </c>
    </row>
    <row r="7" customFormat="false" ht="15" hidden="false" customHeight="false" outlineLevel="0" collapsed="false">
      <c r="A7" s="16" t="s">
        <v>152</v>
      </c>
      <c r="B7" s="16" t="n">
        <f aca="false">COUNTIF(Trazabilidad!$H$2:$H$32,"No se sostiene")</f>
        <v>0</v>
      </c>
    </row>
    <row r="8" customFormat="false" ht="15" hidden="false" customHeight="false" outlineLevel="0" collapsed="false">
      <c r="A8" s="16" t="s">
        <v>106</v>
      </c>
      <c r="B8" s="16" t="n">
        <f aca="false">COUNTIF(Trazabilidad!$H$2:$H$32,"Fuente no conseguida")</f>
        <v>1</v>
      </c>
    </row>
    <row r="10" customFormat="false" ht="15" hidden="false" customHeight="false" outlineLevel="0" collapsed="false">
      <c r="A10" s="15" t="s">
        <v>153</v>
      </c>
      <c r="B10" s="17" t="n">
        <f aca="false">COUNTA(Trazabilidad!$C$2:$C$32)</f>
        <v>21</v>
      </c>
    </row>
    <row r="12" customFormat="false" ht="15" hidden="false" customHeight="false" outlineLevel="0" collapsed="false">
      <c r="A12" s="15" t="s">
        <v>154</v>
      </c>
      <c r="B12" s="15" t="s">
        <v>155</v>
      </c>
      <c r="C12" s="15" t="s">
        <v>156</v>
      </c>
    </row>
    <row r="13" customFormat="false" ht="15" hidden="false" customHeight="false" outlineLevel="0" collapsed="false">
      <c r="A13" s="16" t="s">
        <v>28</v>
      </c>
      <c r="B13" s="16" t="n">
        <f aca="false">COUNTIFS(Trazabilidad!$B$2:$B$32,"Isabella",Trazabilidad!$H$2:$H$32,"Verificada")</f>
        <v>4</v>
      </c>
      <c r="C13" s="16" t="n">
        <f aca="false">COUNTIF(Trazabilidad!$B$2:$B$32,"Isabella")</f>
        <v>8</v>
      </c>
    </row>
    <row r="14" customFormat="false" ht="15" hidden="false" customHeight="false" outlineLevel="0" collapsed="false">
      <c r="A14" s="16" t="s">
        <v>76</v>
      </c>
      <c r="B14" s="16" t="n">
        <f aca="false">COUNTIFS(Trazabilidad!$B$2:$B$32,"Eduar",Trazabilidad!$H$2:$H$32,"Verificada")</f>
        <v>5</v>
      </c>
      <c r="C14" s="16" t="n">
        <f aca="false">COUNTIF(Trazabilidad!$B$2:$B$32,"Eduar")</f>
        <v>7</v>
      </c>
    </row>
    <row r="15" customFormat="false" ht="15" hidden="false" customHeight="false" outlineLevel="0" collapsed="false">
      <c r="A15" s="16" t="s">
        <v>115</v>
      </c>
      <c r="B15" s="16" t="n">
        <f aca="false">COUNTIFS(Trazabilidad!$B$2:$B$32,"Anderson",Trazabilidad!$H$2:$H$32,"Verificada")</f>
        <v>4</v>
      </c>
      <c r="C15" s="16" t="n">
        <f aca="false">COUNTIF(Trazabilidad!$B$2:$B$32,"Anderson")</f>
        <v>6</v>
      </c>
    </row>
    <row r="17" customFormat="false" ht="15" hidden="false" customHeight="false" outlineLevel="0" collapsed="false">
      <c r="A17" s="15" t="s">
        <v>157</v>
      </c>
      <c r="B17" s="17" t="n">
        <f aca="false">COUNTIF(Trazabilidad!$H$2:$H$32,"Corregir - dato distinto")+COUNTIF(Trazabilidad!$H$2:$H$32,"No se sostiene")</f>
        <v>7</v>
      </c>
    </row>
    <row r="19" customFormat="false" ht="15" hidden="false" customHeight="false" outlineLevel="0" collapsed="false">
      <c r="A19" s="15" t="s">
        <v>158</v>
      </c>
      <c r="B19" s="17" t="n">
        <f aca="false">COUNTIF(Trazabilidad!$E$2:$E$32,"No")</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2026-09-26T06:32:48Z</dcterms:created>
  <dc:creator>openpyxl</dc:creator>
  <dc:description/>
  <dc:language>en-US</dc:language>
  <cp:lastModifiedBy>Eduar Andres Caicedo Mu�oz</cp:lastModifiedBy>
  <dcterms:modified xsi:type="dcterms:W3CDTF">2026-09-30T20:59:46Z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