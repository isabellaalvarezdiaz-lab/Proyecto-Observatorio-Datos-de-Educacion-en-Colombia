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ymary\Downloads\NadaSinFuente_Observatorio\"/>
    </mc:Choice>
  </mc:AlternateContent>
  <xr:revisionPtr revIDLastSave="0" documentId="13_ncr:1_{FCE7EEEC-D600-4815-9D8F-B12835D105BF}" xr6:coauthVersionLast="47" xr6:coauthVersionMax="47" xr10:uidLastSave="{00000000-0000-0000-0000-000000000000}"/>
  <bookViews>
    <workbookView xWindow="-120" yWindow="-120" windowWidth="29040" windowHeight="15720" tabRatio="500" firstSheet="3" activeTab="6" xr2:uid="{00000000-000D-0000-FFFF-FFFF00000000}"/>
  </bookViews>
  <sheets>
    <sheet name="Leeme" sheetId="1" r:id="rId1"/>
    <sheet name="Referencias" sheetId="2" r:id="rId2"/>
    <sheet name="Clasif_Isabella" sheetId="3" r:id="rId3"/>
    <sheet name="Clasif_Eduar" sheetId="4" r:id="rId4"/>
    <sheet name="Clasif_Anderson" sheetId="5" r:id="rId5"/>
    <sheet name="Consolidado" sheetId="6" r:id="rId6"/>
    <sheet name="Resultados"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0" i="7" l="1"/>
  <c r="F49" i="7"/>
  <c r="F48" i="7"/>
  <c r="F47" i="7"/>
  <c r="F46" i="7"/>
  <c r="E61" i="7"/>
  <c r="E60" i="7"/>
  <c r="E59" i="7"/>
  <c r="E58" i="7"/>
  <c r="E57" i="7"/>
  <c r="E56" i="7"/>
  <c r="E55" i="7"/>
  <c r="E54" i="7"/>
  <c r="E53" i="7"/>
  <c r="E52" i="7"/>
  <c r="E51" i="7"/>
  <c r="E50" i="7"/>
  <c r="E49" i="7"/>
  <c r="E48" i="7"/>
  <c r="E47" i="7"/>
  <c r="E46" i="7"/>
  <c r="D61" i="7"/>
  <c r="D60" i="7"/>
  <c r="D59" i="7"/>
  <c r="D58" i="7"/>
  <c r="D57" i="7"/>
  <c r="D56" i="7"/>
  <c r="D55" i="7"/>
  <c r="D54" i="7"/>
  <c r="D53" i="7"/>
  <c r="D52" i="7"/>
  <c r="D51" i="7"/>
  <c r="D50" i="7"/>
  <c r="D49" i="7"/>
  <c r="D48" i="7"/>
  <c r="D47" i="7"/>
  <c r="D46" i="7"/>
  <c r="B48" i="7"/>
  <c r="B47" i="7"/>
  <c r="B46" i="7"/>
  <c r="B45" i="7"/>
  <c r="G15" i="7" a="1"/>
  <c r="G15" i="7" s="1"/>
  <c r="C30" i="3"/>
  <c r="D39" i="3"/>
  <c r="D34" i="3"/>
  <c r="C17" i="3"/>
  <c r="C44" i="5"/>
  <c r="D45" i="5"/>
  <c r="C3" i="3"/>
  <c r="C9" i="3"/>
  <c r="D4" i="3"/>
  <c r="D2" i="3"/>
  <c r="L67" i="6"/>
  <c r="J57" i="6"/>
  <c r="L50" i="6"/>
  <c r="E46" i="6"/>
  <c r="D46" i="6"/>
  <c r="C46" i="6"/>
  <c r="B46" i="6"/>
  <c r="A46" i="6"/>
  <c r="E45" i="6"/>
  <c r="D45" i="6"/>
  <c r="C45" i="6"/>
  <c r="B45" i="6"/>
  <c r="F45" i="6" s="1"/>
  <c r="A45" i="6"/>
  <c r="E44" i="6"/>
  <c r="D44" i="6"/>
  <c r="C44" i="6"/>
  <c r="B44" i="6"/>
  <c r="A44" i="6"/>
  <c r="E43" i="6"/>
  <c r="D43" i="6"/>
  <c r="C43" i="6"/>
  <c r="B43" i="6"/>
  <c r="A43" i="6"/>
  <c r="E42" i="6"/>
  <c r="D42" i="6"/>
  <c r="C42" i="6"/>
  <c r="B42" i="6"/>
  <c r="A42" i="6"/>
  <c r="E41" i="6"/>
  <c r="D41" i="6"/>
  <c r="C41" i="6"/>
  <c r="B41" i="6"/>
  <c r="A41" i="6"/>
  <c r="E40" i="6"/>
  <c r="D40" i="6"/>
  <c r="C40" i="6"/>
  <c r="B40" i="6"/>
  <c r="A40" i="6"/>
  <c r="E39" i="6"/>
  <c r="D39" i="6"/>
  <c r="C39" i="6"/>
  <c r="B39" i="6"/>
  <c r="A39" i="6"/>
  <c r="E38" i="6"/>
  <c r="D38" i="6"/>
  <c r="C38" i="6"/>
  <c r="B38" i="6"/>
  <c r="A38" i="6"/>
  <c r="E37" i="6"/>
  <c r="D37" i="6"/>
  <c r="C37" i="6"/>
  <c r="B37" i="6"/>
  <c r="A37" i="6"/>
  <c r="E36" i="6"/>
  <c r="D36" i="6"/>
  <c r="C36" i="6"/>
  <c r="B36" i="6"/>
  <c r="A36" i="6"/>
  <c r="E35" i="6"/>
  <c r="D35" i="6"/>
  <c r="C35" i="6"/>
  <c r="B35" i="6"/>
  <c r="A35" i="6"/>
  <c r="E34" i="6"/>
  <c r="D34" i="6"/>
  <c r="C34" i="6"/>
  <c r="B34" i="6"/>
  <c r="F34" i="6" s="1"/>
  <c r="A34" i="6"/>
  <c r="E33" i="6"/>
  <c r="D33" i="6"/>
  <c r="C33" i="6"/>
  <c r="B33" i="6"/>
  <c r="F33" i="6" s="1"/>
  <c r="A33" i="6"/>
  <c r="E32" i="6"/>
  <c r="D32" i="6"/>
  <c r="C32" i="6"/>
  <c r="B32" i="6"/>
  <c r="A32" i="6"/>
  <c r="E31" i="6"/>
  <c r="D31" i="6"/>
  <c r="C31" i="6"/>
  <c r="B31" i="6"/>
  <c r="F31" i="6" s="1"/>
  <c r="A31" i="6"/>
  <c r="E30" i="6"/>
  <c r="D30" i="6"/>
  <c r="C30" i="6"/>
  <c r="B30" i="6"/>
  <c r="F30" i="6" s="1"/>
  <c r="A30" i="6"/>
  <c r="E29" i="6"/>
  <c r="D29" i="6"/>
  <c r="C29" i="6"/>
  <c r="B29" i="6"/>
  <c r="A29" i="6"/>
  <c r="E28" i="6"/>
  <c r="D28" i="6"/>
  <c r="C28" i="6"/>
  <c r="B28" i="6"/>
  <c r="A28" i="6"/>
  <c r="E27" i="6"/>
  <c r="D27" i="6"/>
  <c r="C27" i="6"/>
  <c r="B27" i="6"/>
  <c r="A27" i="6"/>
  <c r="E26" i="6"/>
  <c r="D26" i="6"/>
  <c r="C26" i="6"/>
  <c r="B26" i="6"/>
  <c r="A26" i="6"/>
  <c r="E25" i="6"/>
  <c r="D25" i="6"/>
  <c r="C25" i="6"/>
  <c r="B25" i="6"/>
  <c r="F25" i="6" s="1"/>
  <c r="A25" i="6"/>
  <c r="E24" i="6"/>
  <c r="D24" i="6"/>
  <c r="C24" i="6"/>
  <c r="B24" i="6"/>
  <c r="A24" i="6"/>
  <c r="E23" i="6"/>
  <c r="D23" i="6"/>
  <c r="C23" i="6"/>
  <c r="B23" i="6"/>
  <c r="F23" i="6" s="1"/>
  <c r="A23" i="6"/>
  <c r="E22" i="6"/>
  <c r="D22" i="6"/>
  <c r="C22" i="6"/>
  <c r="B22" i="6"/>
  <c r="A22" i="6"/>
  <c r="E21" i="6"/>
  <c r="D21" i="6"/>
  <c r="C21" i="6"/>
  <c r="B21" i="6"/>
  <c r="A21" i="6"/>
  <c r="E20" i="6"/>
  <c r="D20" i="6"/>
  <c r="C20" i="6"/>
  <c r="B20" i="6"/>
  <c r="A20" i="6"/>
  <c r="E19" i="6"/>
  <c r="D19" i="6"/>
  <c r="C19" i="6"/>
  <c r="B19" i="6"/>
  <c r="A19" i="6"/>
  <c r="E18" i="6"/>
  <c r="D18" i="6"/>
  <c r="C18" i="6"/>
  <c r="B18" i="6"/>
  <c r="A18" i="6"/>
  <c r="E17" i="6"/>
  <c r="D17" i="6"/>
  <c r="C17" i="6"/>
  <c r="B17" i="6"/>
  <c r="F17" i="6" s="1"/>
  <c r="A17" i="6"/>
  <c r="E16" i="6"/>
  <c r="D16" i="6"/>
  <c r="C16" i="6"/>
  <c r="B16" i="6"/>
  <c r="A16" i="6"/>
  <c r="E15" i="6"/>
  <c r="D15" i="6"/>
  <c r="C15" i="6"/>
  <c r="B15" i="6"/>
  <c r="A15" i="6"/>
  <c r="E14" i="6"/>
  <c r="D14" i="6"/>
  <c r="C14" i="6"/>
  <c r="B14" i="6"/>
  <c r="A14" i="6"/>
  <c r="E13" i="6"/>
  <c r="D13" i="6"/>
  <c r="C13" i="6"/>
  <c r="B13" i="6"/>
  <c r="A13" i="6"/>
  <c r="E12" i="6"/>
  <c r="D12" i="6"/>
  <c r="C12" i="6"/>
  <c r="B12" i="6"/>
  <c r="A12" i="6"/>
  <c r="E11" i="6"/>
  <c r="D11" i="6"/>
  <c r="C11" i="6"/>
  <c r="B11" i="6"/>
  <c r="A11" i="6"/>
  <c r="E10" i="6"/>
  <c r="D10" i="6"/>
  <c r="C10" i="6"/>
  <c r="B10" i="6"/>
  <c r="A10" i="6"/>
  <c r="E9" i="6"/>
  <c r="D9" i="6"/>
  <c r="C9" i="6"/>
  <c r="B9" i="6"/>
  <c r="A9" i="6"/>
  <c r="E8" i="6"/>
  <c r="D8" i="6"/>
  <c r="C8" i="6"/>
  <c r="B8" i="6"/>
  <c r="A8" i="6"/>
  <c r="E7" i="6"/>
  <c r="D7" i="6"/>
  <c r="C7" i="6"/>
  <c r="B7" i="6"/>
  <c r="A7" i="6"/>
  <c r="E6" i="6"/>
  <c r="D6" i="6"/>
  <c r="C6" i="6"/>
  <c r="B6" i="6"/>
  <c r="A6" i="6"/>
  <c r="E5" i="6"/>
  <c r="D5" i="6"/>
  <c r="C5" i="6"/>
  <c r="B5" i="6"/>
  <c r="A5" i="6"/>
  <c r="E4" i="6"/>
  <c r="D4" i="6"/>
  <c r="C4" i="6"/>
  <c r="B4" i="6"/>
  <c r="A4" i="6"/>
  <c r="E3" i="6"/>
  <c r="D3" i="6"/>
  <c r="C3" i="6"/>
  <c r="B3" i="6"/>
  <c r="A3" i="6"/>
  <c r="E2" i="6"/>
  <c r="D2" i="6"/>
  <c r="C2" i="6"/>
  <c r="B2" i="6"/>
  <c r="F2" i="6" s="1"/>
  <c r="A2" i="6"/>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C45" i="5"/>
  <c r="B45" i="5"/>
  <c r="A45" i="5"/>
  <c r="D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D3" i="5"/>
  <c r="C3" i="5"/>
  <c r="B3" i="5"/>
  <c r="A3" i="5"/>
  <c r="D2" i="5"/>
  <c r="C2" i="5"/>
  <c r="B2" i="5"/>
  <c r="A2" i="5"/>
  <c r="D73" i="4"/>
  <c r="C73" i="4"/>
  <c r="B73" i="4"/>
  <c r="A73" i="4"/>
  <c r="D72" i="4"/>
  <c r="C72" i="4"/>
  <c r="B72" i="4"/>
  <c r="A72" i="4"/>
  <c r="D71" i="4"/>
  <c r="C71" i="4"/>
  <c r="B71" i="4"/>
  <c r="A71" i="4"/>
  <c r="D70" i="4"/>
  <c r="C70" i="4"/>
  <c r="B70" i="4"/>
  <c r="A70" i="4"/>
  <c r="D69" i="4"/>
  <c r="C69" i="4"/>
  <c r="B69" i="4"/>
  <c r="A69" i="4"/>
  <c r="D68" i="4"/>
  <c r="C68" i="4"/>
  <c r="B68" i="4"/>
  <c r="A68" i="4"/>
  <c r="D67" i="4"/>
  <c r="C67" i="4"/>
  <c r="B67" i="4"/>
  <c r="A67" i="4"/>
  <c r="D66" i="4"/>
  <c r="C66" i="4"/>
  <c r="B66" i="4"/>
  <c r="A66" i="4"/>
  <c r="D65" i="4"/>
  <c r="C65" i="4"/>
  <c r="B65" i="4"/>
  <c r="A65" i="4"/>
  <c r="D64" i="4"/>
  <c r="C64" i="4"/>
  <c r="B64" i="4"/>
  <c r="A64" i="4"/>
  <c r="D63" i="4"/>
  <c r="C63" i="4"/>
  <c r="B63" i="4"/>
  <c r="A63" i="4"/>
  <c r="D62" i="4"/>
  <c r="C62" i="4"/>
  <c r="B62" i="4"/>
  <c r="A62" i="4"/>
  <c r="D61" i="4"/>
  <c r="C61" i="4"/>
  <c r="B61" i="4"/>
  <c r="A61" i="4"/>
  <c r="D60" i="4"/>
  <c r="C60" i="4"/>
  <c r="B60" i="4"/>
  <c r="A60" i="4"/>
  <c r="D59" i="4"/>
  <c r="C59" i="4"/>
  <c r="B59" i="4"/>
  <c r="A59" i="4"/>
  <c r="D58" i="4"/>
  <c r="C58" i="4"/>
  <c r="B58" i="4"/>
  <c r="A58" i="4"/>
  <c r="D57" i="4"/>
  <c r="C57" i="4"/>
  <c r="B57" i="4"/>
  <c r="A57" i="4"/>
  <c r="D56" i="4"/>
  <c r="C56" i="4"/>
  <c r="B56" i="4"/>
  <c r="A56" i="4"/>
  <c r="D55" i="4"/>
  <c r="C55" i="4"/>
  <c r="B55" i="4"/>
  <c r="A55" i="4"/>
  <c r="D54" i="4"/>
  <c r="C54" i="4"/>
  <c r="B54" i="4"/>
  <c r="A54" i="4"/>
  <c r="D53" i="4"/>
  <c r="C53" i="4"/>
  <c r="B53" i="4"/>
  <c r="A53" i="4"/>
  <c r="D52" i="4"/>
  <c r="C52" i="4"/>
  <c r="B52" i="4"/>
  <c r="A52" i="4"/>
  <c r="D51" i="4"/>
  <c r="C51" i="4"/>
  <c r="B51" i="4"/>
  <c r="A51" i="4"/>
  <c r="D50" i="4"/>
  <c r="C50" i="4"/>
  <c r="B50" i="4"/>
  <c r="A50" i="4"/>
  <c r="D49" i="4"/>
  <c r="C49" i="4"/>
  <c r="B49" i="4"/>
  <c r="A49" i="4"/>
  <c r="D48" i="4"/>
  <c r="C48" i="4"/>
  <c r="B48" i="4"/>
  <c r="A48" i="4"/>
  <c r="D47" i="4"/>
  <c r="C47" i="4"/>
  <c r="B47" i="4"/>
  <c r="A47" i="4"/>
  <c r="D46" i="4"/>
  <c r="C46" i="4"/>
  <c r="B46" i="4"/>
  <c r="A46" i="4"/>
  <c r="D45" i="4"/>
  <c r="C45" i="4"/>
  <c r="B45" i="4"/>
  <c r="A45" i="4"/>
  <c r="D44" i="4"/>
  <c r="C44" i="4"/>
  <c r="B44" i="4"/>
  <c r="A44" i="4"/>
  <c r="D43" i="4"/>
  <c r="C43" i="4"/>
  <c r="B43" i="4"/>
  <c r="A43" i="4"/>
  <c r="D42" i="4"/>
  <c r="C42" i="4"/>
  <c r="B42" i="4"/>
  <c r="A42" i="4"/>
  <c r="D41" i="4"/>
  <c r="C41" i="4"/>
  <c r="B41" i="4"/>
  <c r="A41" i="4"/>
  <c r="D40" i="4"/>
  <c r="C40" i="4"/>
  <c r="B40" i="4"/>
  <c r="A40" i="4"/>
  <c r="D39" i="4"/>
  <c r="C39" i="4"/>
  <c r="B39" i="4"/>
  <c r="A39" i="4"/>
  <c r="D38" i="4"/>
  <c r="C38" i="4"/>
  <c r="B38" i="4"/>
  <c r="A38" i="4"/>
  <c r="D37" i="4"/>
  <c r="C37" i="4"/>
  <c r="B37" i="4"/>
  <c r="A37" i="4"/>
  <c r="D36" i="4"/>
  <c r="C36" i="4"/>
  <c r="B36" i="4"/>
  <c r="A36" i="4"/>
  <c r="D35" i="4"/>
  <c r="C35" i="4"/>
  <c r="B35" i="4"/>
  <c r="A35" i="4"/>
  <c r="D34" i="4"/>
  <c r="C34" i="4"/>
  <c r="B34" i="4"/>
  <c r="A34" i="4"/>
  <c r="D33" i="4"/>
  <c r="C33" i="4"/>
  <c r="B33" i="4"/>
  <c r="A33" i="4"/>
  <c r="D32" i="4"/>
  <c r="C32" i="4"/>
  <c r="B32" i="4"/>
  <c r="A32" i="4"/>
  <c r="D31" i="4"/>
  <c r="C31" i="4"/>
  <c r="B31" i="4"/>
  <c r="A31" i="4"/>
  <c r="D30" i="4"/>
  <c r="C30" i="4"/>
  <c r="B30" i="4"/>
  <c r="A30" i="4"/>
  <c r="D29" i="4"/>
  <c r="C29" i="4"/>
  <c r="B29" i="4"/>
  <c r="A29" i="4"/>
  <c r="D28" i="4"/>
  <c r="C28" i="4"/>
  <c r="B28" i="4"/>
  <c r="A28" i="4"/>
  <c r="D27" i="4"/>
  <c r="C27" i="4"/>
  <c r="B27" i="4"/>
  <c r="A27" i="4"/>
  <c r="D26" i="4"/>
  <c r="C26" i="4"/>
  <c r="B26" i="4"/>
  <c r="A26" i="4"/>
  <c r="D25" i="4"/>
  <c r="C25" i="4"/>
  <c r="B25" i="4"/>
  <c r="A25" i="4"/>
  <c r="D24" i="4"/>
  <c r="C24" i="4"/>
  <c r="B24" i="4"/>
  <c r="A24" i="4"/>
  <c r="D23" i="4"/>
  <c r="C23" i="4"/>
  <c r="B23" i="4"/>
  <c r="A23" i="4"/>
  <c r="D22" i="4"/>
  <c r="C22" i="4"/>
  <c r="B22" i="4"/>
  <c r="A22" i="4"/>
  <c r="D21" i="4"/>
  <c r="C21" i="4"/>
  <c r="B21" i="4"/>
  <c r="A21" i="4"/>
  <c r="D20" i="4"/>
  <c r="C20" i="4"/>
  <c r="B20" i="4"/>
  <c r="A20" i="4"/>
  <c r="D19" i="4"/>
  <c r="C19" i="4"/>
  <c r="B19" i="4"/>
  <c r="A19" i="4"/>
  <c r="D18" i="4"/>
  <c r="C18" i="4"/>
  <c r="B18" i="4"/>
  <c r="A18" i="4"/>
  <c r="D17" i="4"/>
  <c r="C17" i="4"/>
  <c r="B17" i="4"/>
  <c r="A17" i="4"/>
  <c r="D16" i="4"/>
  <c r="C16" i="4"/>
  <c r="B16" i="4"/>
  <c r="A16" i="4"/>
  <c r="D15" i="4"/>
  <c r="C15" i="4"/>
  <c r="B15" i="4"/>
  <c r="A15" i="4"/>
  <c r="D14" i="4"/>
  <c r="C14" i="4"/>
  <c r="B14" i="4"/>
  <c r="A14" i="4"/>
  <c r="D13" i="4"/>
  <c r="C13" i="4"/>
  <c r="B13" i="4"/>
  <c r="A13" i="4"/>
  <c r="D12" i="4"/>
  <c r="C12" i="4"/>
  <c r="B12" i="4"/>
  <c r="A12" i="4"/>
  <c r="D11" i="4"/>
  <c r="C11" i="4"/>
  <c r="B11" i="4"/>
  <c r="A11" i="4"/>
  <c r="D10" i="4"/>
  <c r="C10" i="4"/>
  <c r="B10" i="4"/>
  <c r="A10" i="4"/>
  <c r="D9" i="4"/>
  <c r="C9" i="4"/>
  <c r="B9" i="4"/>
  <c r="A9" i="4"/>
  <c r="D8" i="4"/>
  <c r="C8" i="4"/>
  <c r="B8" i="4"/>
  <c r="A8" i="4"/>
  <c r="D7" i="4"/>
  <c r="C7" i="4"/>
  <c r="B7" i="4"/>
  <c r="A7" i="4"/>
  <c r="D6" i="4"/>
  <c r="C6" i="4"/>
  <c r="B6" i="4"/>
  <c r="A6" i="4"/>
  <c r="D5" i="4"/>
  <c r="C5" i="4"/>
  <c r="B5" i="4"/>
  <c r="A5" i="4"/>
  <c r="D4" i="4"/>
  <c r="C4" i="4"/>
  <c r="B4" i="4"/>
  <c r="A4" i="4"/>
  <c r="D3" i="4"/>
  <c r="C3" i="4"/>
  <c r="B3" i="4"/>
  <c r="A3" i="4"/>
  <c r="D2" i="4"/>
  <c r="C2" i="4"/>
  <c r="B2" i="4"/>
  <c r="A2" i="4"/>
  <c r="D73" i="3"/>
  <c r="C73" i="3"/>
  <c r="B73" i="3"/>
  <c r="A73" i="3"/>
  <c r="D72" i="3"/>
  <c r="C72" i="3"/>
  <c r="B72" i="3"/>
  <c r="A72" i="3"/>
  <c r="D71" i="3"/>
  <c r="C71" i="3"/>
  <c r="B71" i="3"/>
  <c r="A71" i="3"/>
  <c r="D70" i="3"/>
  <c r="C70" i="3"/>
  <c r="B70" i="3"/>
  <c r="A70" i="3"/>
  <c r="D69" i="3"/>
  <c r="C69" i="3"/>
  <c r="B69" i="3"/>
  <c r="A69" i="3"/>
  <c r="D68" i="3"/>
  <c r="C68" i="3"/>
  <c r="B68" i="3"/>
  <c r="A68" i="3"/>
  <c r="D67" i="3"/>
  <c r="C67" i="3"/>
  <c r="B67" i="3"/>
  <c r="A67" i="3"/>
  <c r="D66" i="3"/>
  <c r="C66" i="3"/>
  <c r="B66" i="3"/>
  <c r="A66" i="3"/>
  <c r="D65" i="3"/>
  <c r="C65" i="3"/>
  <c r="B65" i="3"/>
  <c r="A65" i="3"/>
  <c r="D64" i="3"/>
  <c r="C64" i="3"/>
  <c r="B64" i="3"/>
  <c r="A64" i="3"/>
  <c r="D63" i="3"/>
  <c r="C63" i="3"/>
  <c r="B63" i="3"/>
  <c r="A63" i="3"/>
  <c r="D62" i="3"/>
  <c r="C62" i="3"/>
  <c r="B62" i="3"/>
  <c r="A62" i="3"/>
  <c r="D61" i="3"/>
  <c r="C61" i="3"/>
  <c r="B61" i="3"/>
  <c r="A61" i="3"/>
  <c r="D60" i="3"/>
  <c r="C60" i="3"/>
  <c r="B60" i="3"/>
  <c r="A60" i="3"/>
  <c r="D59" i="3"/>
  <c r="C59" i="3"/>
  <c r="B59" i="3"/>
  <c r="A59" i="3"/>
  <c r="D58" i="3"/>
  <c r="C58" i="3"/>
  <c r="B58" i="3"/>
  <c r="A58" i="3"/>
  <c r="D57" i="3"/>
  <c r="C57" i="3"/>
  <c r="B57" i="3"/>
  <c r="A57" i="3"/>
  <c r="D56" i="3"/>
  <c r="C56" i="3"/>
  <c r="B56" i="3"/>
  <c r="A56" i="3"/>
  <c r="D55" i="3"/>
  <c r="C55" i="3"/>
  <c r="B55" i="3"/>
  <c r="A55" i="3"/>
  <c r="D54" i="3"/>
  <c r="C54" i="3"/>
  <c r="B54" i="3"/>
  <c r="A54" i="3"/>
  <c r="D53" i="3"/>
  <c r="C53" i="3"/>
  <c r="B53" i="3"/>
  <c r="A53" i="3"/>
  <c r="D52" i="3"/>
  <c r="C52" i="3"/>
  <c r="B52" i="3"/>
  <c r="A52" i="3"/>
  <c r="D51" i="3"/>
  <c r="C51" i="3"/>
  <c r="B51" i="3"/>
  <c r="A51" i="3"/>
  <c r="D50" i="3"/>
  <c r="C50" i="3"/>
  <c r="B50" i="3"/>
  <c r="A50" i="3"/>
  <c r="D49" i="3"/>
  <c r="C49" i="3"/>
  <c r="B49" i="3"/>
  <c r="A49" i="3"/>
  <c r="D48" i="3"/>
  <c r="C48" i="3"/>
  <c r="B48" i="3"/>
  <c r="A48" i="3"/>
  <c r="D47" i="3"/>
  <c r="C47" i="3"/>
  <c r="B47" i="3"/>
  <c r="A47" i="3"/>
  <c r="D46" i="3"/>
  <c r="C46" i="3"/>
  <c r="B46" i="3"/>
  <c r="A46" i="3"/>
  <c r="D45" i="3"/>
  <c r="C45" i="3"/>
  <c r="B45" i="3"/>
  <c r="A45" i="3"/>
  <c r="D44" i="3"/>
  <c r="C44" i="3"/>
  <c r="B44" i="3"/>
  <c r="A44" i="3"/>
  <c r="D43" i="3"/>
  <c r="C43" i="3"/>
  <c r="B43" i="3"/>
  <c r="A43" i="3"/>
  <c r="D42" i="3"/>
  <c r="C42" i="3"/>
  <c r="B42" i="3"/>
  <c r="A42" i="3"/>
  <c r="D41" i="3"/>
  <c r="C41" i="3"/>
  <c r="B41" i="3"/>
  <c r="A41" i="3"/>
  <c r="D40" i="3"/>
  <c r="C40" i="3"/>
  <c r="B40" i="3"/>
  <c r="A40" i="3"/>
  <c r="C39" i="3"/>
  <c r="B39" i="3"/>
  <c r="A39" i="3"/>
  <c r="D38" i="3"/>
  <c r="C38" i="3"/>
  <c r="B38" i="3"/>
  <c r="A38" i="3"/>
  <c r="D37" i="3"/>
  <c r="C37" i="3"/>
  <c r="B37" i="3"/>
  <c r="A37" i="3"/>
  <c r="D36" i="3"/>
  <c r="C36" i="3"/>
  <c r="B36" i="3"/>
  <c r="A36" i="3"/>
  <c r="D35" i="3"/>
  <c r="C35" i="3"/>
  <c r="B35" i="3"/>
  <c r="A35" i="3"/>
  <c r="C34" i="3"/>
  <c r="B34" i="3"/>
  <c r="A34" i="3"/>
  <c r="D33" i="3"/>
  <c r="C33" i="3"/>
  <c r="B33" i="3"/>
  <c r="A33" i="3"/>
  <c r="D32" i="3"/>
  <c r="C32" i="3"/>
  <c r="B32" i="3"/>
  <c r="A32" i="3"/>
  <c r="D31" i="3"/>
  <c r="C31" i="3"/>
  <c r="B31" i="3"/>
  <c r="A31" i="3"/>
  <c r="D30" i="3"/>
  <c r="B30" i="3"/>
  <c r="A30" i="3"/>
  <c r="D29" i="3"/>
  <c r="C29" i="3"/>
  <c r="B29" i="3"/>
  <c r="A29" i="3"/>
  <c r="D28" i="3"/>
  <c r="C28" i="3"/>
  <c r="B28" i="3"/>
  <c r="A28" i="3"/>
  <c r="D27" i="3"/>
  <c r="C27" i="3"/>
  <c r="B27" i="3"/>
  <c r="A27" i="3"/>
  <c r="D26" i="3"/>
  <c r="C26" i="3"/>
  <c r="B26" i="3"/>
  <c r="A26" i="3"/>
  <c r="D25" i="3"/>
  <c r="C25" i="3"/>
  <c r="B25" i="3"/>
  <c r="A25" i="3"/>
  <c r="D24" i="3"/>
  <c r="C24" i="3"/>
  <c r="B24" i="3"/>
  <c r="A24" i="3"/>
  <c r="D23" i="3"/>
  <c r="C23" i="3"/>
  <c r="B23" i="3"/>
  <c r="A23" i="3"/>
  <c r="D22" i="3"/>
  <c r="C22" i="3"/>
  <c r="B22" i="3"/>
  <c r="A22" i="3"/>
  <c r="D21" i="3"/>
  <c r="C21" i="3"/>
  <c r="B21" i="3"/>
  <c r="A21" i="3"/>
  <c r="D20" i="3"/>
  <c r="C20" i="3"/>
  <c r="B20" i="3"/>
  <c r="A20" i="3"/>
  <c r="D19" i="3"/>
  <c r="C19" i="3"/>
  <c r="B19" i="3"/>
  <c r="A19" i="3"/>
  <c r="D18" i="3"/>
  <c r="C18" i="3"/>
  <c r="B18" i="3"/>
  <c r="A18" i="3"/>
  <c r="D17" i="3"/>
  <c r="B17" i="3"/>
  <c r="A17" i="3"/>
  <c r="D16" i="3"/>
  <c r="C16" i="3"/>
  <c r="B16" i="3"/>
  <c r="A16" i="3"/>
  <c r="D15" i="3"/>
  <c r="C15" i="3"/>
  <c r="B15" i="3"/>
  <c r="A15" i="3"/>
  <c r="D14" i="3"/>
  <c r="C14" i="3"/>
  <c r="B14" i="3"/>
  <c r="A14" i="3"/>
  <c r="D13" i="3"/>
  <c r="C13" i="3"/>
  <c r="B13" i="3"/>
  <c r="A13" i="3"/>
  <c r="D12" i="3"/>
  <c r="C12" i="3"/>
  <c r="B12" i="3"/>
  <c r="A12" i="3"/>
  <c r="D11" i="3"/>
  <c r="C11" i="3"/>
  <c r="B11" i="3"/>
  <c r="A11" i="3"/>
  <c r="D10" i="3"/>
  <c r="C10" i="3"/>
  <c r="B10" i="3"/>
  <c r="A10" i="3"/>
  <c r="D9" i="3"/>
  <c r="B9" i="3"/>
  <c r="A9" i="3"/>
  <c r="D8" i="3"/>
  <c r="C8" i="3"/>
  <c r="B8" i="3"/>
  <c r="A8" i="3"/>
  <c r="D7" i="3"/>
  <c r="C7" i="3"/>
  <c r="B7" i="3"/>
  <c r="A7" i="3"/>
  <c r="D6" i="3"/>
  <c r="C6" i="3"/>
  <c r="B6" i="3"/>
  <c r="A6" i="3"/>
  <c r="D5" i="3"/>
  <c r="C5" i="3"/>
  <c r="B5" i="3"/>
  <c r="A5" i="3"/>
  <c r="C4" i="3"/>
  <c r="B4" i="3"/>
  <c r="A4" i="3"/>
  <c r="D3" i="3"/>
  <c r="B3" i="3"/>
  <c r="A3" i="3"/>
  <c r="C2" i="3"/>
  <c r="B2" i="3"/>
  <c r="A2" i="3"/>
  <c r="F35" i="6" l="1"/>
  <c r="K47" i="6"/>
  <c r="G47" i="6"/>
  <c r="F12" i="6"/>
  <c r="I12" i="6" s="1"/>
  <c r="F7" i="6"/>
  <c r="I7" i="6" s="1"/>
  <c r="F6" i="6"/>
  <c r="F5" i="6"/>
  <c r="F4" i="6"/>
  <c r="M4" i="6" s="1"/>
  <c r="F3" i="6"/>
  <c r="F32" i="6"/>
  <c r="F21" i="6"/>
  <c r="F29" i="6"/>
  <c r="I29" i="6" s="1"/>
  <c r="G57" i="6"/>
  <c r="F8" i="6"/>
  <c r="L8" i="6" s="1"/>
  <c r="F22" i="6"/>
  <c r="M22" i="6" s="1"/>
  <c r="M23" i="6"/>
  <c r="F19" i="6"/>
  <c r="L19" i="6" s="1"/>
  <c r="F14" i="6"/>
  <c r="N14" i="6" s="1"/>
  <c r="F13" i="6"/>
  <c r="F11" i="6"/>
  <c r="F10" i="6"/>
  <c r="N10" i="6" s="1"/>
  <c r="F9" i="6"/>
  <c r="I21" i="6"/>
  <c r="M21" i="6"/>
  <c r="L21" i="6"/>
  <c r="G21" i="6"/>
  <c r="N21" i="6"/>
  <c r="H14" i="6"/>
  <c r="L14" i="6"/>
  <c r="L29" i="6"/>
  <c r="H29" i="6"/>
  <c r="G29" i="6"/>
  <c r="O29" i="6"/>
  <c r="I25" i="6"/>
  <c r="H25" i="6"/>
  <c r="G25" i="6"/>
  <c r="N25" i="6"/>
  <c r="M25" i="6"/>
  <c r="L25" i="6"/>
  <c r="J25" i="6"/>
  <c r="O25" i="6"/>
  <c r="K25" i="6"/>
  <c r="P25" i="6" s="1"/>
  <c r="I22" i="6"/>
  <c r="N22" i="6"/>
  <c r="G22" i="6"/>
  <c r="I33" i="6"/>
  <c r="H33" i="6"/>
  <c r="G33" i="6"/>
  <c r="N33" i="6"/>
  <c r="M33" i="6"/>
  <c r="L33" i="6"/>
  <c r="K33" i="6"/>
  <c r="P33" i="6" s="1"/>
  <c r="O33" i="6"/>
  <c r="J33" i="6"/>
  <c r="H13" i="6"/>
  <c r="N13" i="6"/>
  <c r="I13" i="6"/>
  <c r="N2" i="6"/>
  <c r="G2" i="6"/>
  <c r="G3" i="6"/>
  <c r="I17" i="6"/>
  <c r="H17" i="6"/>
  <c r="G17" i="6"/>
  <c r="J17" i="6" s="1"/>
  <c r="N17" i="6"/>
  <c r="M17" i="6"/>
  <c r="L17" i="6"/>
  <c r="I34" i="6"/>
  <c r="H34" i="6"/>
  <c r="N34" i="6"/>
  <c r="M34" i="6"/>
  <c r="L34" i="6"/>
  <c r="N45" i="6"/>
  <c r="M45" i="6"/>
  <c r="I45" i="6"/>
  <c r="H45" i="6"/>
  <c r="G45" i="6"/>
  <c r="J45" i="6" s="1"/>
  <c r="O45" i="6"/>
  <c r="L45" i="6"/>
  <c r="I31" i="6"/>
  <c r="N31" i="6"/>
  <c r="L31" i="6"/>
  <c r="H2" i="6"/>
  <c r="I23" i="6"/>
  <c r="N23" i="6"/>
  <c r="L23" i="6"/>
  <c r="I30" i="6"/>
  <c r="N30" i="6"/>
  <c r="M30" i="6"/>
  <c r="H30" i="6"/>
  <c r="I32" i="6"/>
  <c r="G32" i="6"/>
  <c r="M32" i="6"/>
  <c r="N35" i="6"/>
  <c r="I35" i="6"/>
  <c r="G35" i="6"/>
  <c r="M35" i="6"/>
  <c r="I2" i="6"/>
  <c r="K17" i="6"/>
  <c r="P17" i="6" s="1"/>
  <c r="G30" i="6"/>
  <c r="J2" i="6"/>
  <c r="J3" i="6"/>
  <c r="F15" i="6"/>
  <c r="O17" i="6"/>
  <c r="F24" i="6"/>
  <c r="F26" i="6"/>
  <c r="L30" i="6"/>
  <c r="G31" i="6"/>
  <c r="K2" i="6"/>
  <c r="P2" i="6" s="1"/>
  <c r="F27" i="6"/>
  <c r="F28" i="6"/>
  <c r="O30" i="6"/>
  <c r="H31" i="6"/>
  <c r="G34" i="6"/>
  <c r="H35" i="6"/>
  <c r="O35" i="6" s="1"/>
  <c r="K45" i="6"/>
  <c r="P45" i="6" s="1"/>
  <c r="L2" i="6"/>
  <c r="F16" i="6"/>
  <c r="F18" i="6"/>
  <c r="G23" i="6"/>
  <c r="M31" i="6"/>
  <c r="J32" i="6"/>
  <c r="K34" i="6"/>
  <c r="L35" i="6"/>
  <c r="N67" i="6"/>
  <c r="I67" i="6"/>
  <c r="K67" i="6"/>
  <c r="J67" i="6"/>
  <c r="H67" i="6"/>
  <c r="G67" i="6"/>
  <c r="P67" i="6"/>
  <c r="O67" i="6"/>
  <c r="M67" i="6"/>
  <c r="M2" i="6"/>
  <c r="F20" i="6"/>
  <c r="H23" i="6"/>
  <c r="N32" i="6"/>
  <c r="P34" i="6"/>
  <c r="N50" i="6"/>
  <c r="P50" i="6"/>
  <c r="G50" i="6"/>
  <c r="K50" i="6"/>
  <c r="J50" i="6"/>
  <c r="I50" i="6"/>
  <c r="H50" i="6"/>
  <c r="O50" i="6"/>
  <c r="M50" i="6"/>
  <c r="N47" i="6"/>
  <c r="I47" i="6"/>
  <c r="L47" i="6"/>
  <c r="N57" i="6"/>
  <c r="M57" i="6"/>
  <c r="K57" i="6"/>
  <c r="F37" i="6"/>
  <c r="F42" i="6"/>
  <c r="M47" i="6"/>
  <c r="L57" i="6"/>
  <c r="F39" i="6"/>
  <c r="O47" i="6"/>
  <c r="O57" i="6"/>
  <c r="P47" i="6"/>
  <c r="P57" i="6"/>
  <c r="F41" i="6"/>
  <c r="F46" i="6"/>
  <c r="F43" i="6"/>
  <c r="H47" i="6"/>
  <c r="H57" i="6"/>
  <c r="F38" i="6"/>
  <c r="J47" i="6"/>
  <c r="I57" i="6"/>
  <c r="F36" i="6"/>
  <c r="F40" i="6"/>
  <c r="F44" i="6"/>
  <c r="J34" i="6" l="1"/>
  <c r="O34" i="6"/>
  <c r="K35" i="6"/>
  <c r="P35" i="6" s="1"/>
  <c r="J35" i="6"/>
  <c r="O2" i="6"/>
  <c r="O23" i="6"/>
  <c r="K23" i="6"/>
  <c r="P23" i="6" s="1"/>
  <c r="J23" i="6"/>
  <c r="O31" i="6"/>
  <c r="K31" i="6"/>
  <c r="P31" i="6" s="1"/>
  <c r="J31" i="6"/>
  <c r="K30" i="6"/>
  <c r="P30" i="6" s="1"/>
  <c r="J30" i="6"/>
  <c r="B9" i="7"/>
  <c r="B7" i="7"/>
  <c r="H12" i="6"/>
  <c r="N12" i="6"/>
  <c r="L12" i="6"/>
  <c r="G12" i="6"/>
  <c r="J12" i="6"/>
  <c r="M12" i="6"/>
  <c r="L9" i="6"/>
  <c r="M9" i="6"/>
  <c r="N9" i="6"/>
  <c r="G8" i="6"/>
  <c r="I8" i="6"/>
  <c r="J8" i="6"/>
  <c r="L7" i="6"/>
  <c r="H7" i="6"/>
  <c r="M7" i="6"/>
  <c r="N7" i="6"/>
  <c r="G7" i="6"/>
  <c r="L6" i="6"/>
  <c r="I6" i="6"/>
  <c r="G6" i="6"/>
  <c r="J6" i="6"/>
  <c r="M6" i="6"/>
  <c r="N6" i="6"/>
  <c r="H6" i="6"/>
  <c r="I5" i="6"/>
  <c r="H5" i="6"/>
  <c r="L5" i="6"/>
  <c r="M5" i="6"/>
  <c r="N5" i="6"/>
  <c r="G5" i="6"/>
  <c r="H4" i="6"/>
  <c r="G4" i="6"/>
  <c r="L4" i="6"/>
  <c r="J4" i="6"/>
  <c r="N4" i="6"/>
  <c r="I4" i="6"/>
  <c r="O4" i="6"/>
  <c r="H3" i="6"/>
  <c r="I3" i="6"/>
  <c r="N3" i="6"/>
  <c r="L3" i="6"/>
  <c r="M3" i="6"/>
  <c r="K3" i="6"/>
  <c r="P3" i="6" s="1"/>
  <c r="B8" i="7"/>
  <c r="C16" i="7" s="1"/>
  <c r="G19" i="6"/>
  <c r="L22" i="6"/>
  <c r="J29" i="6"/>
  <c r="H8" i="6"/>
  <c r="K8" i="6" s="1"/>
  <c r="M8" i="6"/>
  <c r="H22" i="6"/>
  <c r="O22" i="6" s="1"/>
  <c r="K29" i="6"/>
  <c r="P29" i="6" s="1"/>
  <c r="M29" i="6"/>
  <c r="N8" i="6"/>
  <c r="P8" i="6"/>
  <c r="M19" i="6"/>
  <c r="L13" i="6"/>
  <c r="K22" i="6"/>
  <c r="P22" i="6" s="1"/>
  <c r="N29" i="6"/>
  <c r="H21" i="6"/>
  <c r="G9" i="6"/>
  <c r="G14" i="6"/>
  <c r="N11" i="6"/>
  <c r="M11" i="6"/>
  <c r="H9" i="6"/>
  <c r="G10" i="6"/>
  <c r="G11" i="6"/>
  <c r="H32" i="6"/>
  <c r="I19" i="6"/>
  <c r="L32" i="6"/>
  <c r="G13" i="6"/>
  <c r="M13" i="6"/>
  <c r="J22" i="6"/>
  <c r="J14" i="6"/>
  <c r="H10" i="6"/>
  <c r="I11" i="6"/>
  <c r="I9" i="6"/>
  <c r="J9" i="6"/>
  <c r="H19" i="6"/>
  <c r="K19" i="6" s="1"/>
  <c r="P19" i="6" s="1"/>
  <c r="O9" i="6"/>
  <c r="N19" i="6"/>
  <c r="M14" i="6"/>
  <c r="L11" i="6"/>
  <c r="J19" i="6"/>
  <c r="O19" i="6"/>
  <c r="I14" i="6"/>
  <c r="H11" i="6"/>
  <c r="I10" i="6"/>
  <c r="K10" i="6" s="1"/>
  <c r="P10" i="6" s="1"/>
  <c r="J10" i="6"/>
  <c r="L10" i="6"/>
  <c r="M10" i="6"/>
  <c r="N62" i="6"/>
  <c r="P62" i="6"/>
  <c r="G62" i="6"/>
  <c r="J62" i="6"/>
  <c r="I62" i="6"/>
  <c r="H62" i="6"/>
  <c r="O62" i="6"/>
  <c r="M62" i="6"/>
  <c r="L62" i="6"/>
  <c r="K62" i="6"/>
  <c r="N43" i="6"/>
  <c r="I43" i="6"/>
  <c r="M43" i="6"/>
  <c r="L43" i="6"/>
  <c r="H43" i="6"/>
  <c r="G43" i="6"/>
  <c r="O43" i="6"/>
  <c r="N51" i="6"/>
  <c r="I51" i="6"/>
  <c r="P51" i="6"/>
  <c r="O51" i="6"/>
  <c r="M51" i="6"/>
  <c r="L51" i="6"/>
  <c r="K51" i="6"/>
  <c r="J51" i="6"/>
  <c r="H51" i="6"/>
  <c r="G51" i="6"/>
  <c r="N69" i="6"/>
  <c r="M69" i="6"/>
  <c r="H69" i="6"/>
  <c r="G69" i="6"/>
  <c r="P69" i="6"/>
  <c r="O69" i="6"/>
  <c r="L69" i="6"/>
  <c r="K69" i="6"/>
  <c r="J69" i="6"/>
  <c r="I69" i="6"/>
  <c r="I15" i="6"/>
  <c r="N15" i="6"/>
  <c r="L15" i="6"/>
  <c r="M15" i="6"/>
  <c r="G15" i="6"/>
  <c r="H15" i="6"/>
  <c r="N70" i="6"/>
  <c r="P70" i="6"/>
  <c r="G70" i="6"/>
  <c r="L70" i="6"/>
  <c r="K70" i="6"/>
  <c r="J70" i="6"/>
  <c r="I70" i="6"/>
  <c r="H70" i="6"/>
  <c r="O70" i="6"/>
  <c r="M70" i="6"/>
  <c r="N52" i="6"/>
  <c r="K52" i="6"/>
  <c r="I52" i="6"/>
  <c r="H52" i="6"/>
  <c r="G52" i="6"/>
  <c r="P52" i="6"/>
  <c r="O52" i="6"/>
  <c r="M52" i="6"/>
  <c r="L52" i="6"/>
  <c r="J52" i="6"/>
  <c r="I18" i="6"/>
  <c r="H18" i="6"/>
  <c r="N18" i="6"/>
  <c r="M18" i="6"/>
  <c r="L18" i="6"/>
  <c r="G18" i="6"/>
  <c r="D17" i="7"/>
  <c r="C17" i="7"/>
  <c r="B17" i="7"/>
  <c r="N48" i="6"/>
  <c r="K48" i="6"/>
  <c r="M48" i="6"/>
  <c r="L48" i="6"/>
  <c r="J48" i="6"/>
  <c r="I48" i="6"/>
  <c r="H48" i="6"/>
  <c r="G48" i="6"/>
  <c r="P48" i="6"/>
  <c r="O48" i="6"/>
  <c r="N63" i="6"/>
  <c r="I63" i="6"/>
  <c r="O63" i="6"/>
  <c r="M63" i="6"/>
  <c r="L63" i="6"/>
  <c r="K63" i="6"/>
  <c r="J63" i="6"/>
  <c r="H63" i="6"/>
  <c r="G63" i="6"/>
  <c r="P63" i="6"/>
  <c r="N71" i="6"/>
  <c r="I71" i="6"/>
  <c r="G71" i="6"/>
  <c r="P71" i="6"/>
  <c r="O71" i="6"/>
  <c r="M71" i="6"/>
  <c r="L71" i="6"/>
  <c r="K71" i="6"/>
  <c r="J71" i="6"/>
  <c r="H71" i="6"/>
  <c r="I16" i="6"/>
  <c r="G16" i="6"/>
  <c r="M16" i="6"/>
  <c r="L16" i="6"/>
  <c r="N16" i="6"/>
  <c r="J16" i="6"/>
  <c r="H16" i="6"/>
  <c r="N53" i="6"/>
  <c r="M53" i="6"/>
  <c r="L53" i="6"/>
  <c r="K53" i="6"/>
  <c r="J53" i="6"/>
  <c r="I53" i="6"/>
  <c r="H53" i="6"/>
  <c r="G53" i="6"/>
  <c r="P53" i="6"/>
  <c r="O53" i="6"/>
  <c r="N65" i="6"/>
  <c r="M65" i="6"/>
  <c r="K65" i="6"/>
  <c r="J65" i="6"/>
  <c r="I65" i="6"/>
  <c r="H65" i="6"/>
  <c r="G65" i="6"/>
  <c r="P65" i="6"/>
  <c r="O65" i="6"/>
  <c r="L65" i="6"/>
  <c r="N73" i="6"/>
  <c r="M73" i="6"/>
  <c r="O73" i="6"/>
  <c r="L73" i="6"/>
  <c r="K73" i="6"/>
  <c r="J73" i="6"/>
  <c r="I73" i="6"/>
  <c r="H73" i="6"/>
  <c r="G73" i="6"/>
  <c r="P73" i="6"/>
  <c r="N44" i="6"/>
  <c r="G44" i="6"/>
  <c r="M44" i="6"/>
  <c r="L44" i="6"/>
  <c r="J44" i="6"/>
  <c r="I44" i="6"/>
  <c r="H44" i="6"/>
  <c r="O44" i="6" s="1"/>
  <c r="N38" i="6"/>
  <c r="G38" i="6"/>
  <c r="L38" i="6"/>
  <c r="I38" i="6"/>
  <c r="H38" i="6"/>
  <c r="K38" i="6" s="1"/>
  <c r="P38" i="6" s="1"/>
  <c r="O38" i="6"/>
  <c r="M38" i="6"/>
  <c r="J38" i="6"/>
  <c r="N46" i="6"/>
  <c r="G46" i="6"/>
  <c r="M46" i="6"/>
  <c r="L46" i="6"/>
  <c r="J46" i="6"/>
  <c r="I46" i="6"/>
  <c r="H46" i="6"/>
  <c r="I20" i="6"/>
  <c r="L20" i="6"/>
  <c r="H20" i="6"/>
  <c r="G20" i="6"/>
  <c r="K20" i="6" s="1"/>
  <c r="P20" i="6" s="1"/>
  <c r="O20" i="6"/>
  <c r="N20" i="6"/>
  <c r="M20" i="6"/>
  <c r="J20" i="6"/>
  <c r="N56" i="6"/>
  <c r="K56" i="6"/>
  <c r="P56" i="6"/>
  <c r="O56" i="6"/>
  <c r="M56" i="6"/>
  <c r="L56" i="6"/>
  <c r="J56" i="6"/>
  <c r="I56" i="6"/>
  <c r="H56" i="6"/>
  <c r="G56" i="6"/>
  <c r="N59" i="6"/>
  <c r="I59" i="6"/>
  <c r="H59" i="6"/>
  <c r="G59" i="6"/>
  <c r="P59" i="6"/>
  <c r="O59" i="6"/>
  <c r="M59" i="6"/>
  <c r="L59" i="6"/>
  <c r="K59" i="6"/>
  <c r="J59" i="6"/>
  <c r="N72" i="6"/>
  <c r="K72" i="6"/>
  <c r="J72" i="6"/>
  <c r="I72" i="6"/>
  <c r="H72" i="6"/>
  <c r="G72" i="6"/>
  <c r="P72" i="6"/>
  <c r="O72" i="6"/>
  <c r="M72" i="6"/>
  <c r="L72" i="6"/>
  <c r="N40" i="6"/>
  <c r="I40" i="6"/>
  <c r="H40" i="6"/>
  <c r="G40" i="6"/>
  <c r="O40" i="6"/>
  <c r="M40" i="6"/>
  <c r="L40" i="6"/>
  <c r="N58" i="6"/>
  <c r="P58" i="6"/>
  <c r="G58" i="6"/>
  <c r="M58" i="6"/>
  <c r="L58" i="6"/>
  <c r="K58" i="6"/>
  <c r="J58" i="6"/>
  <c r="I58" i="6"/>
  <c r="H58" i="6"/>
  <c r="O58" i="6"/>
  <c r="N41" i="6"/>
  <c r="M41" i="6"/>
  <c r="L41" i="6"/>
  <c r="I41" i="6"/>
  <c r="H41" i="6"/>
  <c r="G41" i="6"/>
  <c r="N54" i="6"/>
  <c r="P54" i="6"/>
  <c r="G54" i="6"/>
  <c r="H54" i="6"/>
  <c r="O54" i="6"/>
  <c r="M54" i="6"/>
  <c r="L54" i="6"/>
  <c r="K54" i="6"/>
  <c r="J54" i="6"/>
  <c r="I54" i="6"/>
  <c r="N42" i="6"/>
  <c r="G42" i="6"/>
  <c r="I42" i="6"/>
  <c r="H42" i="6"/>
  <c r="O42" i="6"/>
  <c r="M42" i="6"/>
  <c r="L42" i="6"/>
  <c r="K42" i="6"/>
  <c r="P42" i="6" s="1"/>
  <c r="J42" i="6"/>
  <c r="N64" i="6"/>
  <c r="K64" i="6"/>
  <c r="H64" i="6"/>
  <c r="G64" i="6"/>
  <c r="P64" i="6"/>
  <c r="O64" i="6"/>
  <c r="M64" i="6"/>
  <c r="L64" i="6"/>
  <c r="J64" i="6"/>
  <c r="I64" i="6"/>
  <c r="N60" i="6"/>
  <c r="K60" i="6"/>
  <c r="L60" i="6"/>
  <c r="J60" i="6"/>
  <c r="I60" i="6"/>
  <c r="H60" i="6"/>
  <c r="G60" i="6"/>
  <c r="P60" i="6"/>
  <c r="O60" i="6"/>
  <c r="M60" i="6"/>
  <c r="N55" i="6"/>
  <c r="I55" i="6"/>
  <c r="L55" i="6"/>
  <c r="K55" i="6"/>
  <c r="J55" i="6"/>
  <c r="H55" i="6"/>
  <c r="G55" i="6"/>
  <c r="P55" i="6"/>
  <c r="O55" i="6"/>
  <c r="M55" i="6"/>
  <c r="N68" i="6"/>
  <c r="K68" i="6"/>
  <c r="O68" i="6"/>
  <c r="M68" i="6"/>
  <c r="L68" i="6"/>
  <c r="J68" i="6"/>
  <c r="I68" i="6"/>
  <c r="H68" i="6"/>
  <c r="G68" i="6"/>
  <c r="P68" i="6"/>
  <c r="N36" i="6"/>
  <c r="M36" i="6"/>
  <c r="I36" i="6"/>
  <c r="H36" i="6"/>
  <c r="G36" i="6"/>
  <c r="L36" i="6"/>
  <c r="N66" i="6"/>
  <c r="P66" i="6"/>
  <c r="G66" i="6"/>
  <c r="O66" i="6"/>
  <c r="M66" i="6"/>
  <c r="L66" i="6"/>
  <c r="K66" i="6"/>
  <c r="J66" i="6"/>
  <c r="I66" i="6"/>
  <c r="H66" i="6"/>
  <c r="N49" i="6"/>
  <c r="M49" i="6"/>
  <c r="G49" i="6"/>
  <c r="P49" i="6"/>
  <c r="O49" i="6"/>
  <c r="L49" i="6"/>
  <c r="K49" i="6"/>
  <c r="J49" i="6"/>
  <c r="I49" i="6"/>
  <c r="H49" i="6"/>
  <c r="N37" i="6"/>
  <c r="M37" i="6"/>
  <c r="H37" i="6"/>
  <c r="G37" i="6"/>
  <c r="L37" i="6"/>
  <c r="J37" i="6"/>
  <c r="I37" i="6"/>
  <c r="I28" i="6"/>
  <c r="L28" i="6"/>
  <c r="H28" i="6"/>
  <c r="G28" i="6"/>
  <c r="K28" i="6" s="1"/>
  <c r="P28" i="6" s="1"/>
  <c r="O28" i="6"/>
  <c r="N28" i="6"/>
  <c r="M28" i="6"/>
  <c r="J28" i="6"/>
  <c r="I26" i="6"/>
  <c r="H26" i="6"/>
  <c r="N26" i="6"/>
  <c r="M26" i="6"/>
  <c r="G26" i="6"/>
  <c r="L26" i="6"/>
  <c r="K26" i="6"/>
  <c r="P26" i="6" s="1"/>
  <c r="B20" i="7"/>
  <c r="N61" i="6"/>
  <c r="M61" i="6"/>
  <c r="P61" i="6"/>
  <c r="O61" i="6"/>
  <c r="L61" i="6"/>
  <c r="K61" i="6"/>
  <c r="J61" i="6"/>
  <c r="I61" i="6"/>
  <c r="H61" i="6"/>
  <c r="G61" i="6"/>
  <c r="I27" i="6"/>
  <c r="G27" i="6"/>
  <c r="N27" i="6"/>
  <c r="M27" i="6"/>
  <c r="L27" i="6"/>
  <c r="H27" i="6"/>
  <c r="O27" i="6" s="1"/>
  <c r="I24" i="6"/>
  <c r="G24" i="6"/>
  <c r="M24" i="6"/>
  <c r="L24" i="6"/>
  <c r="H24" i="6"/>
  <c r="N24" i="6"/>
  <c r="J24" i="6"/>
  <c r="D15" i="7"/>
  <c r="C15" i="7"/>
  <c r="B15" i="7"/>
  <c r="B10" i="7"/>
  <c r="N39" i="6"/>
  <c r="I39" i="6"/>
  <c r="G39" i="6"/>
  <c r="M39" i="6"/>
  <c r="L39" i="6"/>
  <c r="H39" i="6"/>
  <c r="O39" i="6" l="1"/>
  <c r="K39" i="6"/>
  <c r="P39" i="6" s="1"/>
  <c r="J39" i="6"/>
  <c r="O37" i="6"/>
  <c r="K37" i="6"/>
  <c r="P37" i="6" s="1"/>
  <c r="K36" i="6"/>
  <c r="P36" i="6" s="1"/>
  <c r="O36" i="6"/>
  <c r="J36" i="6"/>
  <c r="O41" i="6"/>
  <c r="K41" i="6"/>
  <c r="P41" i="6" s="1"/>
  <c r="J41" i="6"/>
  <c r="K40" i="6"/>
  <c r="P40" i="6" s="1"/>
  <c r="J40" i="6"/>
  <c r="O46" i="6"/>
  <c r="K46" i="6"/>
  <c r="P46" i="6" s="1"/>
  <c r="K44" i="6"/>
  <c r="P44" i="6" s="1"/>
  <c r="K43" i="6"/>
  <c r="P43" i="6" s="1"/>
  <c r="J43" i="6"/>
  <c r="K32" i="6"/>
  <c r="P32" i="6" s="1"/>
  <c r="O32" i="6"/>
  <c r="O16" i="6"/>
  <c r="K16" i="6"/>
  <c r="P16" i="6" s="1"/>
  <c r="O15" i="6"/>
  <c r="K15" i="6"/>
  <c r="P15" i="6" s="1"/>
  <c r="J15" i="6"/>
  <c r="O11" i="6"/>
  <c r="K11" i="6"/>
  <c r="P11" i="6" s="1"/>
  <c r="K14" i="6"/>
  <c r="P14" i="6" s="1"/>
  <c r="O14" i="6"/>
  <c r="J13" i="6"/>
  <c r="O13" i="6"/>
  <c r="K13" i="6"/>
  <c r="P13" i="6" s="1"/>
  <c r="J11" i="6"/>
  <c r="O10" i="6"/>
  <c r="K9" i="6"/>
  <c r="P9" i="6" s="1"/>
  <c r="O3" i="6"/>
  <c r="K4" i="6"/>
  <c r="P4" i="6" s="1"/>
  <c r="J5" i="6"/>
  <c r="O5" i="6"/>
  <c r="K5" i="6"/>
  <c r="P5" i="6" s="1"/>
  <c r="K6" i="6"/>
  <c r="P6" i="6" s="1"/>
  <c r="O6" i="6"/>
  <c r="K7" i="6"/>
  <c r="P7" i="6" s="1"/>
  <c r="J7" i="6"/>
  <c r="O7" i="6"/>
  <c r="O8" i="6"/>
  <c r="O12" i="6"/>
  <c r="K12" i="6"/>
  <c r="P12" i="6" s="1"/>
  <c r="O24" i="6"/>
  <c r="K24" i="6"/>
  <c r="P24" i="6" s="1"/>
  <c r="O21" i="6"/>
  <c r="K21" i="6"/>
  <c r="P21" i="6" s="1"/>
  <c r="J21" i="6"/>
  <c r="J18" i="6"/>
  <c r="O18" i="6"/>
  <c r="K18" i="6"/>
  <c r="K27" i="6"/>
  <c r="P27" i="6" s="1"/>
  <c r="J27" i="6"/>
  <c r="J26" i="6"/>
  <c r="O26" i="6"/>
  <c r="C7" i="7"/>
  <c r="G7" i="7" s="1"/>
  <c r="F7" i="7"/>
  <c r="E7" i="7"/>
  <c r="D7" i="7"/>
  <c r="D16" i="7"/>
  <c r="B16" i="7"/>
  <c r="B41" i="7"/>
  <c r="C41" i="7"/>
  <c r="B25" i="7"/>
  <c r="F9" i="7"/>
  <c r="B42" i="7"/>
  <c r="C42" i="7" s="1"/>
  <c r="B27" i="7"/>
  <c r="D10" i="7"/>
  <c r="B21" i="7"/>
  <c r="B22" i="7" s="1"/>
  <c r="B23" i="7"/>
  <c r="C9" i="7"/>
  <c r="G9" i="7" s="1"/>
  <c r="E10" i="7"/>
  <c r="D9" i="7"/>
  <c r="F10" i="7"/>
  <c r="E9" i="7"/>
  <c r="C8" i="7"/>
  <c r="G8" i="7" s="1"/>
  <c r="D8" i="7"/>
  <c r="F8" i="7"/>
  <c r="E8" i="7"/>
  <c r="B26" i="7"/>
  <c r="C10" i="7"/>
  <c r="G10" i="7"/>
  <c r="I10" i="7"/>
  <c r="H10" i="7"/>
  <c r="B32" i="7"/>
  <c r="B30" i="7"/>
  <c r="C26" i="7"/>
  <c r="C22" i="7"/>
  <c r="B33" i="7"/>
  <c r="B31" i="7"/>
  <c r="B34" i="7" s="1"/>
  <c r="B35" i="7" s="1"/>
  <c r="C21" i="7"/>
  <c r="C27" i="7"/>
  <c r="C25" i="7"/>
  <c r="C23" i="7"/>
  <c r="P18" i="6" l="1"/>
  <c r="B24" i="7" s="1"/>
  <c r="C24" i="7" s="1"/>
  <c r="B40" i="7"/>
  <c r="C40" i="7" s="1"/>
  <c r="H7" i="7"/>
  <c r="I7" i="7"/>
  <c r="I9" i="7"/>
  <c r="H9" i="7"/>
  <c r="H8" i="7"/>
  <c r="I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600-000001000000}">
      <text>
        <r>
          <rPr>
            <sz val="10"/>
            <rFont val="Arial"/>
            <family val="2"/>
          </rPr>
          <t>Cuantil normal para 95 %. Cambiar solo si deciden otro nivel.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<sst xmlns="http://schemas.openxmlformats.org/spreadsheetml/2006/main" count="838" uniqueCount="473">
  <si>
    <t>Experimento de la semana 1 · «Nada sin fuente»</t>
  </si>
  <si>
    <t>Celdas amarillas = las que se llenan a mano. Todo lo demás son fórmulas: no las editen.</t>
  </si>
  <si>
    <t>Paso 1 · Referencias (lo llena Anderson, sábado en la noche)</t>
  </si>
  <si>
    <t>Una fila por cada referencia que dio la IA: quién corrió la consulta, el texto de la consulta, el tratamiento (A, B o C), la referencia tal como la dio la IA, el DOI/URL que dio y la afirmación que le atribuyó. Si la IA no le atribuyó nada, escriban «(ninguna)».</t>
  </si>
  <si>
    <t>Paso 2 · Clasificación a ciegas (domingo)</t>
  </si>
  <si>
    <t>Cada integrante recibe su propia copia de este archivo con la hoja Referencias llena y solo llena SU hoja Clasif_&lt;nombre&gt;. No abre las hojas de los demás ni comenta con nadie hasta que los tres hayan entregado.</t>
  </si>
  <si>
    <t>Categorías: Utilizable = existe y dice lo que se le atribuye · Existe pero no dice eso = es real, pero la afirmación atribuida no se sostiene · No existe = no se encuentra por DOI ni por título.</t>
  </si>
  <si>
    <t>Reglas acordadas antes de clasificar (ver Anexo A del documento): si los metadatos están mal (año, volumen, páginas) pero el documento existe, se clasifica por contenido y se anota el error en Nota. Si solo se pudo leer el resumen, se anota «solo resumen».</t>
  </si>
  <si>
    <t>Paso 3 · Consolidación (Anderson)</t>
  </si>
  <si>
    <t>Copia la columna E de cada hoja Clasif_ recibida en la hoja del mismo nombre de este archivo maestro (mismas filas, mismo ID). Consolidado y Resultados se calculan solos.</t>
  </si>
  <si>
    <t>Cómo se calcula</t>
  </si>
  <si>
    <t>Clasificación final de cada referencia: la categoría que eligieron al menos dos de tres. Si los tres eligieron distinto queda «Sin mayoría» y se discute en equipo; la resolución se documenta, no se esconde.</t>
  </si>
  <si>
    <t>Intervalo: Wilson al 95 % (z en Resultados!B3). Con ~15 referencias por tratamiento es ancho; hay que decirlo.</t>
  </si>
  <si>
    <t>Acuerdo: % de acuerdo total, acuerdo por pares y κ de Fleiss (3 clasificadores, 3 categorías).</t>
  </si>
  <si>
    <t>Ejemplo del formato de una fila de Referencias (NO se copia al archivo):</t>
  </si>
  <si>
    <t>ID R01 · Integrante: Isabella · Consulta: eficiencia del gasto público en educación superior en Colombia · Tratamiento: A · Referencia: Galvis-Aponte, L. (2015). La eficiencia del gasto público en educación en Colombia. Economía &amp; Región, 9(2) · DOI/URL: (no dio) · Afirmación: «la eficiencia promedio en cobertura es 62,3 %»</t>
  </si>
  <si>
    <t>ID</t>
  </si>
  <si>
    <t>Integrante (consulta)</t>
  </si>
  <si>
    <t>Consulta (texto exacto)</t>
  </si>
  <si>
    <t>Tratamiento</t>
  </si>
  <si>
    <t>Referencia tal como la dio la IA</t>
  </si>
  <si>
    <t>DOI / URL que dio la IA</t>
  </si>
  <si>
    <t>Afirmación que la IA le atribuye</t>
  </si>
  <si>
    <t>R01</t>
  </si>
  <si>
    <t>Isabella</t>
  </si>
  <si>
    <t>Estoy elaborando el estado del arte de un proyecto de consultoría estadística sobre educación superior en Colombia. Dame cinco referencias académicas (artículos revisados por pares, libros o informes institucionales) sobre: el índice de Malmquist aplicado a universidades para medir el cambio de productividad entre periodos. Para cada una indica autores, año, título, revista o editorial, DOI o URL, y en una frase qué afirma o encuentra que sea relevante para mi pregunta.</t>
  </si>
  <si>
    <t>A</t>
  </si>
  <si>
    <t>Worthington, A. C., &amp; Lee, B. L. (2008). Efficiency, technology and productivity change in Australian universities, 1998–2003.</t>
  </si>
  <si>
    <t>https://doi.org/10.1016/j.econedurev.2006.10.006</t>
  </si>
  <si>
    <t>Worthington y Lee (2008) aplican el índice de Malmquist a 35 universidades australianas durante el periodo 1998-2003 para medir el crecimiento de la productividad y descomponerlo en cambios de eficiencia técnica y progreso tecnológico. El estudio encuentra un crecimiento promedio anual de la productividad del 3,3%, atribuido principalmente al progreso tecnológico.</t>
  </si>
  <si>
    <t>R02</t>
  </si>
  <si>
    <t>Flegg, A. T., Allen, D. O., Field, K., &amp; Thurlow, T. W. (2004). Measuring the efficiency of British universities: A multi-period data envelopment analysis</t>
  </si>
  <si>
    <t>https://doi.org/10.1080/0904529042000258586</t>
  </si>
  <si>
    <t>Utiliza DEA en varios periodos para estudiar la evolución de la eficiencia universitaria y constituye un antecedente metodológico importante para analizar productividad y eficiencia a lo largo del tiempo.</t>
  </si>
  <si>
    <t>R03</t>
  </si>
  <si>
    <t>Johnes, J. (2006). Data envelopment analysis and its application to the measurement of efficiency in higher education.</t>
  </si>
  <si>
    <t>https://doi.org/10.1016/j.econedurev.2005.02.005</t>
  </si>
  <si>
    <t>Presenta y discute la aplicación de DEA en educación superior, explicando cómo las universidades pueden analizarse como unidades que transforman múltiples insumos en productos; es una base metodológica que posteriormente calcula índices de Malmquist.</t>
  </si>
  <si>
    <t>R04</t>
  </si>
  <si>
    <t>Kao, C., &amp; Hung, H.-T. (2008). Efficiency analysis of university departments: An empirical study.</t>
  </si>
  <si>
    <t>https://doi.org/10.1016/j.omega.2006.05.003</t>
  </si>
  <si>
    <t>Muestra cómo DEA puede utilizarse para comparar unidades universitarias con múltiples insumos y productos, lo que resulta relevante cuando el índice de Malmquist se construye sobre fronteras de producción estimadas mediante DEA.</t>
  </si>
  <si>
    <t>R05</t>
  </si>
  <si>
    <t>Abbott, M., &amp; Doucouliagos, C. (2003). The efficiency of Australian universities: A data envelopment analysis.</t>
  </si>
  <si>
    <t>https://doi.org/10.1016/S0272-7757(01)00068-1</t>
  </si>
  <si>
    <t>Analiza la eficiencia relativa de universidades australianas mediante DEA y demuestra la utilidad de este enfoque para estudiar diferencias de productividad/eficiencia entre instituciones de educación superior.</t>
  </si>
  <si>
    <t>R06</t>
  </si>
  <si>
    <t>B</t>
  </si>
  <si>
    <t xml:space="preserve">	Johnes, J.(2008). Efficiency and Productivity Change in the English Higher Education Sector from 1996/97 to 2004/5</t>
  </si>
  <si>
    <t>10.1111/j.1467-9957.2008.01087.x</t>
  </si>
  <si>
    <t xml:space="preserve">Estima índices de Malmquist para 112 instituciones inglesas y encuentra un aumento medio anual de productividad de 1%, explicado por +6% de cambio tecnológico y −5% de eficiencia técnica </t>
  </si>
  <si>
    <t>R07</t>
  </si>
  <si>
    <t>Parteka, A.; Wolszczak-Derlacz, J.(2012). Dynamics of productivity in higher education: cross-european evidence based on bootstrapped Malmquist indices</t>
  </si>
  <si>
    <t>10.1007/s11123-012-0320-0</t>
  </si>
  <si>
    <t xml:space="preserve">Analiza 266 instituciones públicas en 7 países europeos y muestra un crecimiento medio anual de productividad de 4%, además de evaluar la significancia estadística de los cambios con bootstrap </t>
  </si>
  <si>
    <t>R08</t>
  </si>
  <si>
    <t>Worthington, A.; Lee, B. L.(Worthington, A.; Lee, B. L.(2008).Efficiency, technology and productivity change in Australian universities, 1998–2003</t>
  </si>
  <si>
    <t>10.1016/j.econedurev.2006.09.012</t>
  </si>
  <si>
    <t xml:space="preserve">Para 35 universidades australianas, reporta un crecimiento anual medio de productividad de 3.3%, atribuido principalmente al progreso tecnológico; además separa productividad de docencia e investigación </t>
  </si>
  <si>
    <t>R09</t>
  </si>
  <si>
    <t>García-Aracil, A.(2013). Understanding productivity changes in public universities: Evidence from Spain</t>
  </si>
  <si>
    <t>10.1093/reseval/rvt009</t>
  </si>
  <si>
    <t>Estudia universidades españolas entre 1994 y 2008 y encuentra que el crecimiento de productividad se debe más a mejoras de eficiencia que al progreso tecnológico, con un papel menor de la eficiencia de escala.</t>
  </si>
  <si>
    <t>R10</t>
  </si>
  <si>
    <t>de la Hoz, E.; García-Yerena, C.; Zuluaga-Ortiz, R.(2026). Academic Productivity Dynamics in Colombian Social Science Programs: A PCA–Malmquist Index Approach (2020–2023)</t>
  </si>
  <si>
    <t>10.7160/eriesj.2026.190107</t>
  </si>
  <si>
    <t xml:space="preserve">Aplica PCA–Malmquist a 11,099 observaciones y concluye que 76% de las mejoras de productividad se explican por cambio tecnológico, con fuertes diferencias regionales </t>
  </si>
  <si>
    <t>R11</t>
  </si>
  <si>
    <t>C</t>
  </si>
  <si>
    <t>Francisco Javier Maza Ávila, Juan Carlos Vergara Schmalbach y Raúl Román Romero. (2017).Eficiencia y productividad en la cobertura de las universidades públicas colombianas</t>
  </si>
  <si>
    <t>https://www.google.com/url?sa=E&amp;q=http%3A%2F%2Fwww.redalyc.org%2Farticulo.oa%3Fid%3D26854666001</t>
  </si>
  <si>
    <t>Evalúa la evolución de la productividad en la cobertura de 32 universidades públicas colombianas (2003-2012) mediante el índice de Malmquist, encontrando un crecimiento promedio anual del 9% en la productividad impulsado fundamentalmente por avances tecnológicos</t>
  </si>
  <si>
    <t>R12</t>
  </si>
  <si>
    <t>Morales-Piñero, Niño-Muñoz, &amp; Lesmes-Cardenas (2022).Gestión Pública o Privada de las Universidades: ¿Cuál es la Opción más Eficiente para una Política Pública en Educación Superior en Colombia?</t>
  </si>
  <si>
    <t>https://www.google.com/url?sa=E&amp;q=https%3A%2F%2Fdoi.org%2F10.14507%2Fepaa.30.7310</t>
  </si>
  <si>
    <t>Emplea el índice Global Malmquist-Luenberger (GML) con metafronteras DEA para evaluar la productividad y la eficiencia de 122 universidades públicas y privadas colombianas considerando bad outputs como los egresados no vinculados al mercado laboral formal</t>
  </si>
  <si>
    <t>R13</t>
  </si>
  <si>
    <t>Thanassoulis, Kortelainen, Johnes, &amp; Johnes (2011).Costs and efficiency of higher education institutions in England: A DEA analysis.</t>
  </si>
  <si>
    <t>Utiliza el índice de Malmquist combinado con modelos DEA para medir las variaciones en la productividad total de los factores a lo largo del tiempo y analizar las estructuras de costos en las instituciones de educación superior en Inglaterra.</t>
  </si>
  <si>
    <t>R14</t>
  </si>
  <si>
    <t>Flegg, Allen, Field, &amp; Thurlow (2004).Measuring the efficiency of British universities: A multiperiod data envelopment analysis.</t>
  </si>
  <si>
    <t>https://www.google.com/url?sa=E&amp;q=https%3A%2F%2Fdoi.org%2F10.1080%2F0904529042000258590</t>
  </si>
  <si>
    <t xml:space="preserve"> Mide los cambios en la productividad y la eficiencia técnica de las universidades británicas en múltiples periodos aplicando el índice de Malmquist, evaluando además el impacto de la congestión de insumos en el rendimiento.</t>
  </si>
  <si>
    <t>R15</t>
  </si>
  <si>
    <t>Galvis-Aponte (2015). LA EFICIENCIA DEL GASTO PÚBLICO
EN EDUCACIÓN EN COLOMBIA</t>
  </si>
  <si>
    <t>https://revistas.utb.edu.co/economiayregion/article/view/106/87</t>
  </si>
  <si>
    <t xml:space="preserve"> Evalúa la eficiencia del gasto territorial del Sistema General de Participaciones (SGP) en municipios colombianos (2012), encontrando una eficiencia promedio de 63,4% en cobertura y de 48,8% en calidad educativa.</t>
  </si>
  <si>
    <t>R16</t>
  </si>
  <si>
    <t>Eduar</t>
  </si>
  <si>
    <t>Estoy elaborando el estado del arte de un proyecto de consultoría estadística sobre educación superior en Colombia. Dame cinco referencias académicas (artículos revisados por pares, libros o informes institucionales) sobre: aplicaciones del Análisis Envolvente de Datos (DEA) a la eficiencia de universidades públicas en América Latina. Para cada una indica autores, año, título, revista o editorial, DOI o URL, y en una frase qué afirma o encuentra que sea relevante para mi pregunta.</t>
  </si>
  <si>
    <t>Melo-Becerra, L. A., &amp; Vásquez, D. M. (2019). Eficiencia de las instituciones de educación superior en Colombia: una aproximación mediante análisis envolvente de datos</t>
  </si>
  <si>
    <t>https://www.banrep.gov.co/es/borradores-economia</t>
  </si>
  <si>
    <t>Es directamente pertinente para Colombia: utiliza DEA para estudiar diferencias de eficiencia entre instituciones de educación superior y permite sustentar la selección de insumos y productos educativos en un contexto colombiano.</t>
  </si>
  <si>
    <t>R17</t>
  </si>
  <si>
    <t>González, L., &amp; Callejas, J. (2011). Análisis envolvente de datos aplicado a la evaluación de la eficiencia de las universidades públicas españolas</t>
  </si>
  <si>
    <t>Requiere verificación bibliográfica antes de citar</t>
  </si>
  <si>
    <t>Es útil metodológicamente porque muestra cómo DEA permite comparar universidades mediante una frontera de eficiencia, distinguiendo instituciones eficientes de aquellas con posibilidades de mejora relativa.</t>
  </si>
  <si>
    <t>R18</t>
  </si>
  <si>
    <t>Johnes, J. (2006). Data envelopment analysis and its application to the measurement of efficiency in higher education</t>
  </si>
  <si>
    <t>Es relevante para justificar comparaciones entre instituciones públicas y otros tipos de universidades y para discutir cómo las características institucionales pueden asociarse con diferencias en eficiencia DEA.</t>
  </si>
  <si>
    <t>R19</t>
  </si>
  <si>
    <t>Agasisti, T., Dal Bianco, A., Griffini, M., &amp; Valenti, R. (2016). The public-private efficiency gap: An empirical analysis of Italian universities</t>
  </si>
  <si>
    <t>Requiere verificación bibliográfica del DOI antes de citar</t>
  </si>
  <si>
    <t>R20</t>
  </si>
  <si>
    <t>Ramanathan, R. (2003). An Introduction to Data Envelopment Analysis: A Tool for Performance Measurement</t>
  </si>
  <si>
    <t>https://us.sagepub.com/en-us/nam/an-introduction-to-data-envelopment-analysis/book2262</t>
  </si>
  <si>
    <t>Aunque no es específico de universidades latinoamericanas, proporciona la base metodológica para CCR/BCC, orientación input/output, eficiencia técnica y construcción de la frontera DEA, conceptos necesarios para fundamentar el modelo de tu consultoría.</t>
  </si>
  <si>
    <t>R21</t>
  </si>
  <si>
    <t>Lina P. Navas, Felipe Montes, Sepideh Abolghasem, Ricardo Salas, M. Toloo, R. Zarama (2020) Colombian higher education institutions evaluation</t>
  </si>
  <si>
    <t>10.1016/j.seps.2020.100801</t>
  </si>
  <si>
    <t>Propone una extensión de DEA de eficiencia cruzada para evaluar IES colombianas con metas múltiples, mostrando que unas instituciones son más eficientes en docencia o empleabilidad y otras en investigación</t>
  </si>
  <si>
    <t>R22</t>
  </si>
  <si>
    <t>Delimiro Visbal-Cadavid, M. Martínez-Gómez, F. Guijarro (2017) Assessing the Efficiency of Public Universities through DEA. A Case Study</t>
  </si>
  <si>
    <t>10.3390/su9081416</t>
  </si>
  <si>
    <t xml:space="preserve">	Evalúa 32 universidades públicas colombianas con modelos CCR, BCC y SBM orientados al output, desagregando ineficiencia técnica, de escala y de mezcla, y encuentra a Tolima, Caldas y UNAD entre las de mejor desempeño.</t>
  </si>
  <si>
    <t>R23</t>
  </si>
  <si>
    <t>Jorge Moreno-Gómez, Jonathan Calleja-Blanco, Gloria Moreno-Gómez (2019) Measuring the efficiency of the Colombian higher education system: a two-stage approach</t>
  </si>
  <si>
    <t>10.1108/ijem-07-2019-0236</t>
  </si>
  <si>
    <t>Aplica un DEA en dos etapas a 78 universidades colombianas entre 2015 y 2017 y encuentra que las públicas superan a las privadas en eficiencia docente e investigativa, mientras la proporción de profesores con PhD mejora todas las dimensiones de eficiencia</t>
  </si>
  <si>
    <t>R24</t>
  </si>
  <si>
    <t>M. Sagarra, T. Agasisti (2017) Exploring the efficiency of Mexican universities: Integrating Data Envelopment Analysis and Multidimensional Scaling</t>
  </si>
  <si>
    <t>10.1016/j.omega.2016.04.006</t>
  </si>
  <si>
    <t>Analiza 55 universidades mexicanas entre 2007 y 2012 con 21 modelos DEA y escalamiento multidimensional, para distinguir si los cambios de eficiencia provienen de docencia, investigación o ambas dimensiones</t>
  </si>
  <si>
    <t>R25</t>
  </si>
  <si>
    <t>Rafael Santos Tavares, L. Angulo-Meza, A. P. Sant'Anna (2021) A proposed multistage evaluation approach for Higher Education Institutions based on network Data envelopment analysis: A Brazilian experience</t>
  </si>
  <si>
    <t>10.1016/j.evalprogplan.2021.101984</t>
  </si>
  <si>
    <t>Desarrolla un enfoque de Network DEA en tres etapas aplicado a 45 universidades federales brasileñas, permitiendo medir eficiencia financiera, de pregrado y de posgrado con una visión más integral de los procesos universitarios</t>
  </si>
  <si>
    <t>R26</t>
  </si>
  <si>
    <t>Francisco Javier Maza Ávila, Juan Carlos Vergara Schmalbach y Raúl Román Romero (2017) EFICIENCIA Y PRODUCTIVIDAD EN LA COBERTURA DE LAS UNIVERSIDADES PÚBLICAS COLOMBIANAS</t>
  </si>
  <si>
    <t>[http://dx.doi.org/10.14482/indes.25.2.10957](https://www.google.com/url?sa=E&amp;amp;q=http%3A%2F%2Fdx.doi.org%2F10.14482%2Findes.25.2.10957)</t>
  </si>
  <si>
    <t>Analiza la eficiencia técnica (DEA BCC) y los cambios en la productividad (índice de Malmquist) en la cobertura de 32 universidades públicas colombianas del Sistema Universitario Estatal (2003-2012), encontrando una eficiencia promedio superior al 70% y un crecimiento de la productividad del 9%, aunque con notables diferencias entre la región Andina y la región Caribe</t>
  </si>
  <si>
    <t>R27</t>
  </si>
  <si>
    <t>Juan Morales-Piñero, Diana Niño-Muñoz y Diana Lesmes-Cardenas (2022) Gestión Pública o Privada de las Universidades: ¿Cuál es la Opción más Eficiente para una Política Pública en Educación Superior en Colombia?</t>
  </si>
  <si>
    <t>https://doi.org/10.14507/epaa.30.7310</t>
  </si>
  <si>
    <t>Compara la eficiencia de 122 universidades públicas y privadas colombianas mediante una metafrontera DEA con *bad outputs* (incorporando el desempleo formal de sus graduados), concluyendo que no hay diferencias globales estadísticamente significativas en la eficiencia de gestión entre ambos sectores, aunque las universidades públicas lideran la producción científica y muestran mayor eficiencia en entornos urbanos de alta competencia</t>
  </si>
  <si>
    <t>R28</t>
  </si>
  <si>
    <t>Diego Visbal-Cadavid, Adel Mendoza y Eduardo Causado Rodríguez (2016) Eficiencia en las instituciones de educación superior públicas colombianas: una aplicación del análisis envolvente de datos</t>
  </si>
  <si>
    <t>[https://doi.org/10.22518/16578953.537](https://www.google.com/url?sa=E&amp;amp;q=https%3A%2F%2Fdoi.org%2F10.22518%2F16578953.537)</t>
  </si>
  <si>
    <t>Aplica la metodología DEA para medir la eficiencia relativa de las instituciones públicas de educación superior en Colombia al transformar sus recursos institucionales e insumos en productos de docencia e investigación</t>
  </si>
  <si>
    <t>R29</t>
  </si>
  <si>
    <t>Zulima Ramírez-Gutiérrez, Mercedes Barrachina-Palanca y Vicente Ripoll-Feliu (2020) Efficiency in higher education. Empirical study in public universities of Colombia and Spain[18]</t>
  </si>
  <si>
    <t>[https://doi.org/10.1590/0034-761220190232x](https://www.google.com/url?sa=E&amp;amp;q=https%3A%2F%2Fdoi.org%2F10.1590%2F0034-761220190232x)</t>
  </si>
  <si>
    <t>Realiza una evaluación empírica mediante Análisis Envolvente de Datos para comparar el desempeño e identificar niveles de eficiencia técnica e institucional entre las universidades públicas de Colombia y España</t>
  </si>
  <si>
    <t>R30</t>
  </si>
  <si>
    <t>Alejandro Altamirano-Corro y Rodrigo Peniche-Vera (2014) Measuring the institutional efficiency using DEA and AHP: The case of a Mexican university</t>
  </si>
  <si>
    <t>https://doi.org/10.1016/S1665-6423(14)71606-2</t>
  </si>
  <si>
    <t>Combina el Análisis Envolvente de Datos con el Proceso de Análisis Jerárquico (AHP) para evaluar la eficiencia institucional y la gestión con múltiples entradas y salidas en el ámbito universitario público en México</t>
  </si>
  <si>
    <t>R31</t>
  </si>
  <si>
    <t>Anderson</t>
  </si>
  <si>
    <t>Estoy elaborando el estado del arte de un proyecto de consultoría estadística sobre educación superior en Colombia. Dame cinco referencias académicas (artículos revisados por pares, libros o informes institucionales) sobre: el uso de resultados de pruebas estandarizadas de egreso (Saber Pro, ENADE, EGEL) como variable de producto en modelos DEA de eficiencia universitaria. Para cada una indica autores, año, título, revista o editorial, DOI o URL, y en una frase qué afirma o encuentra que sea relevante para mi pregunta.</t>
  </si>
  <si>
    <t>Zuluaga, R., Delahoz-Domínguez, E. J., &amp; Ojeda, H. (2020). Eficiencia académica estudiantil: un enfoque de análisis de componentes principales y análisis envolvente de datos.</t>
  </si>
  <si>
    <t>https://doi.org/10.18041/1909-2458/ingeniare.29.7433</t>
  </si>
  <si>
    <t>Propone combinar PCA y DEA para medir la eficiencia académica a partir de los resultados de Saber Pro 2018 y encuentra que solo el 16,67 % de las unidades analizadas fueron eficientes, identificando competencias específicas susceptibles de mejora.</t>
  </si>
  <si>
    <t>R32</t>
  </si>
  <si>
    <t>De La Hoz, E., Zuluaga, R., &amp; Mendoza, A. (2021). Assessing and Classification of Academic Efficiency in Engineering Teaching Programs.</t>
  </si>
  <si>
    <t>https://doi.org/10.7160/eriesj.2021.140104</t>
  </si>
  <si>
    <t>Es muy pertinente para tu problema porque define explícitamente los Saber 11 como inputs y los Saber Pro como outputs del DEA, aplicándolo a 265 programas de ingeniería y resaltando la importancia de comparar instituciones con características similares.</t>
  </si>
  <si>
    <t>R33</t>
  </si>
  <si>
    <t>Zuluaga, R., Camelo-Guarín, A., &amp; De La Hoz, E. (2023). Assessing the Relative Impact of Colombian Higher Education Institutions Using Fuzzy Data Envelopment Analysis (Fuzzy-DEA) in State Evaluations.</t>
  </si>
  <si>
    <t>https://doi.org/10.7160/eriesj.2023.160404</t>
  </si>
  <si>
    <t>Aplica Fuzzy-DEA a 92 instituciones y 4.976 estudiantes de Ingeniería Industrial, usando Saber 11 como inputs y Saber Pro como outputs, y muestra cómo la frontera de eficiencia puede interpretarse como una ruta de incremento de resultados entre ambas pruebas.</t>
  </si>
  <si>
    <t>R34</t>
  </si>
  <si>
    <t>Mendoza-Mendoza, A., De La Hoz-Domínguez, E. J., &amp; Visbal-Cadavid, D. (2023). Classification of industrial engineering programs in Colombia based on state tests.</t>
  </si>
  <si>
    <t>https://doi.org/10.1016/j.heliyon.2023.e16002</t>
  </si>
  <si>
    <t>Utiliza un DEA-BCC orientado a outputs, con resultados de Saber 11 como entradas y Saber Pro como salidas, para 5.318 estudiantes de 93 IES; las eficiencias obtenidas permiten clasificar los programas en tres grupos y muestran directamente la utilidad de tratar el resultado de egreso como producto educativo.</t>
  </si>
  <si>
    <t>R35</t>
  </si>
  <si>
    <t>Marques, F. C., Davoglio, G. R., Gabardo da Camara, M. R., do Nascimento, S. P., &amp; Ferreira, C. R. (2021). Efficiency Comparison Between Public and Private Higher Education Institutions in the Academic Performance of Economics Senior Students.</t>
  </si>
  <si>
    <t>https://doi.org/10.38116/ppp54art07</t>
  </si>
  <si>
    <t>Para ENADE, desarrolla una DEA descompuesta en una componente asociada al desempeño del estudiante y otra a la eficiencia de la IES, utilizando los resultados de estudiantes de Economía de 2012 y 2015 y controlando además factores socioeconómicos.</t>
  </si>
  <si>
    <t>R36</t>
  </si>
  <si>
    <t>Zuluaga-Ortiz, R., Delahoz-Domínguez, E. J., &amp; Camelo-Guarín, A. (2022). Academic efficiency of engineering university degrees and its driving factors. A PLS-DEA approach. Journal of International Studies.</t>
  </si>
  <si>
    <t>https://doi.org/10.14254/2071-8330.2022/15-2/8</t>
  </si>
  <si>
    <t>Usa explícitamente los resultados de Saber Pro como outputs y los de Saber 11 como inputs para modelar la transformación educativa en programas de ingeniería en Colombia.</t>
  </si>
  <si>
    <t>R37</t>
  </si>
  <si>
    <t>Visbal-Cadavid, D., Martínez-Gómez, M., &amp; Guijarro, F. (2017). Assessing the Efficiency of Public Universities through DEA. A Case Study. Sustainability.</t>
  </si>
  <si>
    <t>https://doi.org/10.3390/su9081416</t>
  </si>
  <si>
    <t>Incluye Saber Pro Top Quintile como variable de producto en un DEA orientado a outputs para universidades públicas colombianas, y muestra que casi todas las IES ineficientes requerían mejorar ese resultado para alcanzar la frontera.</t>
  </si>
  <si>
    <t>R38</t>
  </si>
  <si>
    <t>Tavares, R. S., Angulo-Meza, L., &amp; Sant'Anna, A. P. (2021). A proposed multistage evaluation approach for Higher Education Institutions based on network Data envelopment analysis: A Brazilian experience. Evaluation and Program Planning.</t>
  </si>
  <si>
    <t>https://doi.org/10.1016/j.evalprogplan.2021.101984</t>
  </si>
  <si>
    <t>Propone un Network DEA para 45 universidades federales brasileñas con una etapa de pregrado, consistente con el uso de indicadores de desempeño formativo tipo ENADE dentro de una evaluación multietapa, aunque el extracto no nombra la variable exacta.</t>
  </si>
  <si>
    <t>R39</t>
  </si>
  <si>
    <t>Moreno-Gómez, J., Calleja-Blanco, J., &amp; Moreno-Gómez, G. (2019). Measuring the efficiency of the Colombian higher education system: a two-stage approach. International Journal of Educational Management.</t>
  </si>
  <si>
    <t>https://doi.org/10.1108/IJEM-07-2019-0236</t>
  </si>
  <si>
    <t>Es un antecedente metodológico útil de DEA en universidades colombianas y de análisis en dos etapas, aunque el extracto disponible no confirma que use Saber Pro como output específico.</t>
  </si>
  <si>
    <t>R40</t>
  </si>
  <si>
    <t>De Witte, K., &amp; López-Torres, L. (2017). Efficiency in education: a review of literature and a way forward. European Journal of Operational Research, 259(2), 432-452.</t>
  </si>
  <si>
    <t>https://doi.org/10.1016/j.ejor.2016.08.073</t>
  </si>
  <si>
    <t>Constituye la revisión sistemática definitiva sobre DEA en educación, justificando metodológicamente por qué las calificaciones de pruebas estandarizadas de egreso deben priorizarse como variable de producto (output) para capturar la calidad del aprendizaje, en lugar de utilizar únicamente tasas de graduación.</t>
  </si>
  <si>
    <t>R41</t>
  </si>
  <si>
    <t>Melo-Becerra, L. A., Ramos-Forero, J. E., &amp; Hernández-Santamaría, P. O. (2017). La educación superior en Colombia: situación actual y análisis de eficiencia. Desarrollo y Sociedad, (78), 59-111.</t>
  </si>
  <si>
    <t>https://doi.org/10.13043/dys.78.2</t>
  </si>
  <si>
    <t>Incorpora explícitamente el desempeño en las pruebas Saber Pro como variable de producto (output) en un modelo DEA para evaluar la calidad educativa y la eficiencia técnica de las universidades colombianas.</t>
  </si>
  <si>
    <t>R42</t>
  </si>
  <si>
    <t>Zoghbi, A. C., Rocha, F., &amp; Mattos, E. (2013). Education production efficiency: Evidence from Brazilian universities. Economic Modelling, 31, 94-103.</t>
  </si>
  <si>
    <t>https://doi.org/10.1016/j.econmod.2012.11.018</t>
  </si>
  <si>
    <t>Utiliza la diferencia de puntajes entre estudiantes de primer y último año en el ENADE brasileño como proxy del valor agregado y producto educativo dentro de un análisis de eficiencia universitaria.</t>
  </si>
  <si>
    <t>R43</t>
  </si>
  <si>
    <t>Visbal-Cadavid, D., Mendoza-Mendoza, A., &amp; Causado-Rodríguez, E. (2016). Eficiencia en las instituciones de educación superior públicas colombianas: una aplicación del análisis envolvente de datos. Civilizar. Ciencias Sociales y Humanas, 16(30), 105-118.</t>
  </si>
  <si>
    <t>https://doi.org/10.22518/16578953.537</t>
  </si>
  <si>
    <t>Operacionaliza la calidad institucional en un modelo DEA orientado a salidas utilizando como output el número de estudiantes con desempeño en el quintil superior de las pruebas Saber Pro.</t>
  </si>
  <si>
    <t>R44</t>
  </si>
  <si>
    <t>Machado, R. N., &amp; Viana, J. C. (2014). Eficiência dos cursos de graduação no Brasil: Uma análise utilizando o Enade. Revista Brasileira de Estudos Pedagógicos, 95(241), 606-625.</t>
  </si>
  <si>
    <t>https://doi.org/10.1590/S2176-66812014000300007</t>
  </si>
  <si>
    <t>Demuestra metodológicamente cómo los resultados brutos de la prueba estandarizada ENADE pueden ser utilizados como variable de salida directa en modelos DEA para rankear la eficiencia de programas de pregrado.</t>
  </si>
  <si>
    <t>R45</t>
  </si>
  <si>
    <t>Visbal-Cadavid, D., Martínez-Gómez, M., &amp; Guijarro, F. (2017). Assessing the Efficiency of Public Universities through DEA. A Case Study. Sustainability, 9(8), 1416.</t>
  </si>
  <si>
    <t>Evalúa 32 universidades públicas y consolida la metodología de medir la calidad de los egresados introduciendo en la frontera DEA el número ponderado de estudiantes en el quintil superior de Saber Pro.</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</si>
  <si>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</si>
  <si>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</si>
  <si>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</si>
  <si>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</si>
  <si>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</si>
  <si>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</si>
  <si>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</si>
  <si>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</si>
  <si>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</si>
  <si>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</si>
  <si>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</si>
  <si>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</si>
  <si>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</si>
  <si>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</si>
  <si>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</si>
  <si>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</si>
  <si>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</si>
  <si>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</si>
  <si>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</si>
  <si>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</si>
  <si>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</si>
  <si>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</si>
  <si>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</si>
  <si>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</si>
  <si>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</si>
  <si>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</si>
  <si>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</si>
  <si>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Referencia</t>
  </si>
  <si>
    <t>Afirmación atribuida</t>
  </si>
  <si>
    <t>Clasificación</t>
  </si>
  <si>
    <t>Cómo la verifiqué (DOI/URL encontrado o búsqueda hecha)</t>
  </si>
  <si>
    <t>Nota (metadatos erróneos, solo resumen, etc.)</t>
  </si>
  <si>
    <t>Utilizable</t>
  </si>
  <si>
    <t>DOI dado no resolvió. Encontrado buscando título exacto + autores en Google. PDF en: DOI real: https://doi.org/10.1016/j.econedurev.2006.09.012.</t>
  </si>
  <si>
    <t>DOI incorrecto; el artículo existe.</t>
  </si>
  <si>
    <t>DOI dado no resolvió. Encontrado buscando título exacto + autores en Google. PDF en: https://www.tandfonline.com/doi/full/10.1080/0904529042000258590?needAccess=true.DOI real: https://doi.org/10.1080/0904529042000258590.</t>
  </si>
  <si>
    <t>DOI incorrecto; solo resumen</t>
  </si>
  <si>
    <t>Existe pero no dice eso</t>
  </si>
  <si>
    <t>DOI dado resolvió (página oficial, acceso de pago). Texto completo en acceso libre encontrado en Google: https://scispace.com/pdf/data-envelopment-analysis-and-its-application-to-the-2prqruq09g.pdf. El artículo no menciona el índice de Malmquist ni cambios de productividad entre periodos.</t>
  </si>
  <si>
    <t>DOI dado no resolvió. Encontrado buscando título exacto + autores en Google. PDF en: https://www.sciencedirect.com/science/article/abs/pii/S0305048306000211.DOI real: 10.1016/j.econedurev.2006.09.012. La parte de DEA y múltiples insumos/productos sí está, pero la referencia al índice de Malmquist no aparece en el resumen.</t>
  </si>
  <si>
    <t>DOI dado resolvió (página oficial, acceso de pago). Texto completo en acceso libre encontrado en Google: https://www.researchgate.net/publication/222709271_The_Efficiency_of_Australian_Universities_A_Data_Envelopment_Analysis</t>
  </si>
  <si>
    <t>DOI dado resolvió (página oficial, acceso de pago).</t>
  </si>
  <si>
    <t>solo resumen</t>
  </si>
  <si>
    <t>DOI dado resolvió (página oficial). Texto completo encontrado en Google: https://link.springer.com/article/10.1007/s11123-012-0320-0</t>
  </si>
  <si>
    <t>DOI dado resolvió (página oficial). Texto completo encontrado en Google: https://external-apps.qut.edu.au/business/documents/discussionPapers/2005/No%20195%20-%20Worthington%20and%20%20Lee.pdf?utm_source=consensus</t>
  </si>
  <si>
    <t>DOI dado resolvió .La cifra de 76 % aparece en el resumen; no la localicé en el cuerpo del artículo.</t>
  </si>
  <si>
    <t>DOI dado resolvió.</t>
  </si>
  <si>
    <t>DOI dado resolvió (página oficial, acceso de pago).  Texto completo encontrado en Google:https://www.researchgate.net/publication/23978449_Costs_and_Efficiency_of_Higher_Education_Institutions_in_England_A_DEA_Analysis</t>
  </si>
  <si>
    <t xml:space="preserve">DOI dado resolvió (página oficial, acceso de pago).  </t>
  </si>
  <si>
    <t>URL correcto.</t>
  </si>
  <si>
    <t>No existe</t>
  </si>
  <si>
    <t>Link dado no abre (error 404).</t>
  </si>
  <si>
    <t>Se tiene un articulo con el mismo nombre, sin embargo, los autores y feche de publicación no coinciden, por eso, se deja la decisión de no existe, porque no se tiene un factor para comparar.</t>
  </si>
  <si>
    <t xml:space="preserve">Sin resultados en google. </t>
  </si>
  <si>
    <t>DOI dado resolvió (página oficial, acceso de pago).  Texto completo encontrado en Google:https://scispace.com/pdf/data-envelopment-analysis-and-its-application-to-the-2prqruq09g.pdf</t>
  </si>
  <si>
    <t xml:space="preserve">Sin resultados en google, la referencia no incluia URL ni DOI, al momento de realizar la busqueda directamente por el nombre, no se obtuvo ningún resultado del texto de referencia. </t>
  </si>
  <si>
    <t xml:space="preserve">Link dado no abre (error 404), el link de referencia que se proporciona no dirige a ninguna pagina, lo que se obtiene es un error, y al buscar el texto directamente en google teniendo en cuenta el nombre del autoor, se obtiene que toca pagar y no sé encuentra información verificada sobre un resumen de este mismo. </t>
  </si>
  <si>
    <t xml:space="preserve">DOI dado resolvió (página oficial, acceso de pago).  Se verifico que al articulo existe y tambien que el DOI funciona, sin embargop, al buscar el texto competo no se logro obtener, ya que, es de acceso, pago, aún así el resumen proporcionadop de la página oficial establece que el hallazgo obtenido está presente en el aticulo obtenido. </t>
  </si>
  <si>
    <t xml:space="preserve">DOI dado resolvió (página oficial, acceso de pago), sin embargo, se verifico con el resumen de la página oficial y esta información coincide con el hallazgo proporcionado. </t>
  </si>
  <si>
    <t xml:space="preserve">DOI dado resolvió (página oficial, acceso de pago). Solo se tienen acceso al resumen, este mismo se relaciona con la información dada en el hallazgo, sin embargo, no sé logra confirmar con el articulo completo. </t>
  </si>
  <si>
    <t>Link dado no abre (error 404), el link de referencia que se proporciona no dirige a ninguna pagina, lo que se obtiene es un error, sin embargo, al buscar el nombre del texto directamente en google, se obtiene acceso completo a este mismo. https://www.redalyc.org/journal/268/26854666001/html/</t>
  </si>
  <si>
    <t>Link dado no abre (error 404), el link de referencia que se proporciona no dirige a ninguna pagina, lo que se obtiene es un error, sin embargo, al buscar el nombre del texto directamente en google, se obtiene acceso completo a este mismo. https://www.redalyc.org/journal/1002/100246672006/html/</t>
  </si>
  <si>
    <t>Link dado no abre (error 404), el link de referencia que se proporciona no dirige a ninguna pagina, lo que se obtiene es un error, sin embargo, al buscar el nombre del texto directamente en google, se obtiene acceso completo a este mismo. https://www.redalyc.org/journal/2410/241064754007/241064754007.pdf</t>
  </si>
  <si>
    <t>En la referencia dada por la IA, se conmfirmo que está mal el nombre de uno de los autores del texto, la referencia correcta es : Zoraida Ramírez-Gutiérrez, Mercedes Barrachina-Palanca y Vicente Ripoll-Feliu (2020) Efficiency in higher education. Empirical study in public universities of Colombia and Spain[18]</t>
  </si>
  <si>
    <t>Link dado no dirige a ninguna pagina, lo que se obtiene es un error, sin embargo, al buscar el nombre del texto directamente en google, se obtiene acceso completo a este mismo. https://www.researchgate.net/publication/276427961_Measuring_the_Institutional_Efficiency_Using_DEA_and_AHP_the_Case_of_a_Mexican_University</t>
  </si>
  <si>
    <t>En la referencia dada por la IA, los nombres de los autores están mal. Antonio Altamirano-Corro y Rebeca del Rocío Peniche-Vera (2014)</t>
  </si>
  <si>
    <t>DOI dado resolvió (página oficial, acceso de pago). Solo se tienen acceso al resumen y este no nombra la variable exacta (ENADE).</t>
  </si>
  <si>
    <t>DOI dado resolvió (página oficial, acceso de pago).  Texto completo encontrado en Google:https://share.google/PO6DrrcHLyGzPeRYd</t>
  </si>
  <si>
    <t>Efectivamente en el artÍculo encontrado, no se tiene informacion del Saber pro como output específico.</t>
  </si>
  <si>
    <t>DOI dado lleva a otro artículo: A branch and price algorithm to solve the integrated production planning and scheduling in bulk ports. Encontrado buscando Efficiency in education: a review of literature and a way forward. Texto completo encontrado en Google: https://www.researchgate.net/publication/287390827_Efficiency_in_education_A_review_of_literature_and_a_way_forward</t>
  </si>
  <si>
    <t>No prioriza las pruebas de egreso sobre las tasas de graduación: El texto no dice que las pruebas estandarizadas de egreso deban priorizarse por encima de las tasas de graduación. Lo que hace el estudio es explicar que ambas variables tienen limitaciones (una mide cantidad y la otra calidad) y concluye que el indicador ideal es el valor agregado (el progreso académico medido entre la entrada y la salida del estudiante).</t>
  </si>
  <si>
    <t xml:space="preserve">DOI dado no resolvió. Al hacer la busqueda en google no sé encontro nada. </t>
  </si>
  <si>
    <t>El DOI proporcionado no funciona. Sin embargo, al buscar la referencia en el buscador web y en Google Académico se localizó el artículo correspondiente. El texto completo requiere pago y únicamente fue posible consultar el resumen.</t>
  </si>
  <si>
    <t>La existencia de la referencia pudo confirmarse, pero la verificación del contenido se limitó al resumen debido al acceso restringido al texto completo.</t>
  </si>
  <si>
    <t>El DOI proporcionado funciona correctamente y el artículo aparece también en Google Académico. Aunque la página principal solo permite consultar el resumen, se localizó otra fuente donde fue posible acceder al artículo completo. La lectura del artículo confirma la afirmación atribuida por la IA.</t>
  </si>
  <si>
    <t>La referencia y la afirmación fueron verificadas directamente en el texto completo disponible.</t>
  </si>
  <si>
    <t>El DOI proporcionado funciona y el artículo aparece también en Google Académico. Sin embargo, la página consultada únicamente permite acceder al resumen y el texto completo requiere pago.</t>
  </si>
  <si>
    <t>La existencia y los metadatos del artículo fueron confirmados, pero no fue posible verificar completamente la afirmación debido al acceso restringido al texto completo.</t>
  </si>
  <si>
    <t>El DOI proporcionado permite consultar el resumen y la referencia también aparece en Google Académico. Mediante una búsqueda adicional en el buscador web se localizó una fuente que permite consultar el artículo completo; sin embargo, la coincidencia con la afirmación de la IA se pudo confirmar a partir de la información del resumen disponible.</t>
  </si>
  <si>
    <t>La referencia pudo ser localizada y la afirmación coincide con el resumen, pero la verificación del contenido fue parcial.</t>
  </si>
  <si>
    <t>El DOI proporcionado funciona, aunque inicialmente solo permite consultar el resumen. Mediante una búsqueda adicional en el buscador web se encontró una fuente que permite descargar el artículo completo en formato Word. La lectura del documento confirma la afirmación atribuida por la IA.</t>
  </si>
  <si>
    <t>La referencia y la afirmación fueron verificadas directamente en el texto completo localizado en una fuente alternativa.</t>
  </si>
  <si>
    <t>El DOI proporcionado funciona correctamente y permite visualizar el PDF completo del artículo. La lectura del documento confirma la afirmación atribuida por la IA.</t>
  </si>
  <si>
    <t>La referencia, el acceso al texto completo y la afirmación fueron confirmados directamente en el artículo.</t>
  </si>
  <si>
    <t>El DOI y la referencia conducen al artículo correspondiente, pero el texto completo requiere pago. Únicamente fue posible consultar el resumen, el cual coincide con la afirmación o relevancia atribuida por la IA.</t>
  </si>
  <si>
    <t>La existencia y los metadatos fueron confirmados, pero la verificación del contenido se limitó al resumen.</t>
  </si>
  <si>
    <t>El DOI conduce al artículo y este también aparece en Google Académico. Aunque estas fuentes solo permiten consultar el resumen, mediante una búsqueda adicional en el buscador web se localizó el artículo completo. La lectura del texto confirma la relevancia atribuida por la IA.</t>
  </si>
  <si>
    <t>La referencia y la afirmación fueron verificadas directamente en el texto completo disponible en una fuente alternativa.</t>
  </si>
  <si>
    <t>El DOI proporcionado funciona correctamente y permite consultar el artículo completo. La lectura del documento confirma la relevancia atribuida por la IA.</t>
  </si>
  <si>
    <t>Tanto la referencia como la URL funcionan correctamente y permiten visualizar el PDF completo. La lectura del documento confirma la afirmación atribuida por la IA.</t>
  </si>
  <si>
    <t>La referencia funciona correctamente y permite consultar el artículo completo. La revisión del documento confirma que su contenido corresponde con la relevancia atribuida por la IA.</t>
  </si>
  <si>
    <t>La URL proporcionada dirige a una página que requiere pago para acceder al texto completo. Mediante la búsqueda de la referencia en el buscador web se encontró un artículo de los mismos autores cuyo título difiere parcialmente, pero cuyo contenido trata sobre el tema señalado por la IA.</t>
  </si>
  <si>
    <t>La coincidencia no pudo confirmarse de manera definitiva porque el título no coincide completamente y no fue posible establecer con certeza que se trate del mismo estudio.</t>
  </si>
  <si>
    <t>El enlace proporcionado dirige a una página que muestra "página no encontrada". Posteriormente se realizó la búsqueda de la referencia en Google Académico y en el buscador web, sin encontrar el artículo correspondiente.</t>
  </si>
  <si>
    <t>No fue posible localizar el artículo ni confirmar sus metadatos mediante una fuente bibliográfica identificable.</t>
  </si>
  <si>
    <t>La referencia no incluía DOI ni URL. Se realizó una búsqueda por título y autores en Google Académico y en el buscador web, sin encontrar un artículo que coincidiera con la referencia suministrada.</t>
  </si>
  <si>
    <t>No fue posible confirmar la existencia del artículo con el título y los autores indicados.</t>
  </si>
  <si>
    <t>El DOI suministrado dirige al artículo correspondiente y los autores y el título coinciden con la referencia. Google Académico también registra el mismo DOI. El texto completo requiere pago; sin embargo, el resumen confirma que el estudio aborda la eficiencia en la educación superior.</t>
  </si>
  <si>
    <t>La existencia y los metadatos de la referencia fueron confirmados, pero la verificación del contenido se limitó al resumen debido al acceso restringido al texto completo.</t>
  </si>
  <si>
    <t>La referencia no incluía DOI ni URL. Se realizó la búsqueda por título y autores en Google Académico y en el buscador web, sin encontrar un artículo que coincidiera con la referencia. Se localizó un trabajo de uno de los mismos autores publicado en el mismo año, pero con un título diferente.</t>
  </si>
  <si>
    <t>El artículo localizado no corresponde a la referencia suministrada, por lo que no se pudo confirmar la existencia del trabajo citado.</t>
  </si>
  <si>
    <t>El enlace proporcionado genera un error. Posteriormente se buscó la referencia en Google Académico y en el buscador web, donde aparecen registros del artículo; sin embargo, el acceso al texto completo está restringido. El resumen disponible indica que el estudio analiza la eficiencia de algunas empresas de China.</t>
  </si>
  <si>
    <t>El contenido identificado corresponde a empresas de China y no al contexto de educación superior indicado en la afirmación atribuida.</t>
  </si>
  <si>
    <t>El DOI suministrado dirige a la página correspondiente al artículo y coincide con el registro encontrado en Google Académico. Aunque el texto completo requiere pago, el resumen confirma el estudio sobre eficiencia mediante Análisis Envolvente de Datos y su aplicación a instituciones de educación superior colombianas.</t>
  </si>
  <si>
    <t>La referencia y el contenido general de la afirmación pudieron confirmarse mediante el registro y el resumen del artículo; el texto completo no fue de acceso libre.</t>
  </si>
  <si>
    <t>La referencia y el DOI fueron localizados y conducen al artículo correspondiente. Los autores y el título coinciden con la referencia suministrada y la lectura del artículo confirma la afirmación atribuida. El estudio analiza 32 universidades colombianas.</t>
  </si>
  <si>
    <t>La referencia, sus metadatos y la afirmación atribuida fueron confirmados directamente en el artículo.</t>
  </si>
  <si>
    <t>El DOI suministrado funciona y el artículo también fue localizado mediante Google Académico. El registro corresponde a la referencia indicada, pero el acceso al texto completo está restringido y únicamente se puede consultar el resumen.</t>
  </si>
  <si>
    <t>La existencia del artículo y sus metadatos fueron confirmados, pero no fue posible verificar de manera completa la afirmación atribuida debido al acceso limitado al texto completo.</t>
  </si>
  <si>
    <t>El DOI funciona y el artículo aparece igualmente en Google Académico. Aunque algunas fuentes restringen el acceso al texto completo, se localizó otra página donde fue posible consultar el artículo completo. La lectura del texto confirma la afirmación atribuida, incluyendo el estudio de 55 universidades y el uso del Análisis Envolvente de Datos.</t>
  </si>
  <si>
    <t>El DOI suministrado funciona y el artículo aparece en Google Académico. Sin embargo, las fuentes consultadas únicamente permiten acceder al resumen y requieren pago para visualizar el texto completo.</t>
  </si>
  <si>
    <t>La existencia y los metadatos del artículo fueron confirmados, pero el contenido de la afirmación no pudo verificarse completamente por la restricción de acceso.</t>
  </si>
  <si>
    <t>El enlace proporcionado no funciona. No obstante, al buscar la referencia en Google Académico y en el buscador web se localizó el artículo completo. En este se presenta el resultado del proyecto titulado "Eficiencia y productividad en la cobertura y calidad de las instituciones oficiales de educación superior de Colombia".</t>
  </si>
  <si>
    <t>El enlace suministrado es incorrecto o no está disponible, pero el artículo pudo ser localizado y verificado mediante fuentes alternativas.</t>
  </si>
  <si>
    <t>El enlace funciona correctamente y dirige a la página correspondiente al artículo. Fue posible consultar el texto completo y comprobar que su contenido coincide con la afirmación atribuida, incluyendo el estudio de 122 universidades mediante Análisis Envolvente de Datos.</t>
  </si>
  <si>
    <t>La referencia, el acceso al artículo y la afirmación atribuida fueron confirmados directamente en el texto completo.</t>
  </si>
  <si>
    <t>El DOI proporcionado no funciona. Sin embargo, al buscar la referencia se localizó el artículo completo, disponible para consulta y descarga. La lectura del artículo confirma la afirmación atribuida y señala que la investigación se desarrolló en el marco del proyecto "Eficiencia de las instituciones educativas públicas", financiado por el Fondo Patrimonial de Investigaciones "Fonciencias" de la Universidad del Magdalena.</t>
  </si>
  <si>
    <t>El DOI suministrado no es funcional, pero la referencia pudo ser identificada y su contenido fue confirmado directamente en el artículo completo.</t>
  </si>
  <si>
    <t>El DOI proporcionado no funciona. No obstante, la referencia fue localizada mediante búsqueda bibliográfica y se encontró el artículo completo, disponible para consulta y descarga. La lectura del documento confirma la afirmación atribuida.</t>
  </si>
  <si>
    <t>El DOI suministrado no es funcional, pero la referencia y la afirmación fueron verificadas directamente en el artículo completo.</t>
  </si>
  <si>
    <t>Tanto la referencia como la URL funcionan correctamente. La URL dirige a una fuente que permite descargar el PDF completo y la lectura del documento confirma la afirmación atribuida por la IA.</t>
  </si>
  <si>
    <t>La URL permite localizar el artículo y la referencia también fue buscada en Google Académico y en el buscador web. En las fuentes consultadas únicamente fue posible acceder al resumen, el cual confirma parcialmente la relevancia atribuida por la IA.</t>
  </si>
  <si>
    <t>La existencia del artículo pudo confirmarse, pero solo una parte de la afirmación fue respaldada por el resumen y no fue posible revisar el texto completo.</t>
  </si>
  <si>
    <t>La URL permite localizar el artículo y la referencia también aparece en Google Académico y en el buscador web. Únicamente fue posible consultar el resumen, el cual coincide con la relevancia atribuida por la IA.</t>
  </si>
  <si>
    <t>La referencia y su relevancia general fueron confirmadas mediante el resumen, pero no fue posible revisar el texto completo.</t>
  </si>
  <si>
    <t>La URL permite localizar la referencia y esta también fue buscada en Google Académico y en el buscador web. Aunque se encontró una fuente donde es posible consultar un artículo completo, su contenido no coincide con la afirmación atribuida por la IA y no corresponde al mismo estudio mencionado.</t>
  </si>
  <si>
    <t>Se localizó un artículo relacionado, pero no corresponde al estudio señalado por la IA, por lo que la afirmación no pudo ser confirmada.</t>
  </si>
  <si>
    <t>La URL permite localizar el artículo y la referencia también fue buscada en Google Académico y en el buscador web. Sin embargo, únicamente fue posible consultar el resumen.</t>
  </si>
  <si>
    <t>La existencia del artículo pudo confirmarse, pero no fue posible verificar completamente la afirmación debido a la falta de acceso al texto completo.</t>
  </si>
  <si>
    <t>No fue posible localizar la referencia mediante la URL ni mediante la búsqueda de la referencia en Google Académico y en el buscador web.</t>
  </si>
  <si>
    <t>No se encontró un registro bibliográfico que permitiera confirmar la existencia de la referencia.</t>
  </si>
  <si>
    <t>La referencia y la URL funcionan correctamente. La URL dirige a una fuente que permite descargar el PDF completo y la lectura del artículo confirma la afirmación atribuida.</t>
  </si>
  <si>
    <t>Búsqueda manual por título en bases de datos. El enlace de la IA está roto. El DOI verdadero es: 10.1016/j.econedurev.2006.09.012</t>
  </si>
  <si>
    <t>DOI incorrecto: El artículo y la cifra son reales, pero la IA se inventó el DOI (puso 10.006 al final en lugar de 09.012).</t>
  </si>
  <si>
    <t>El DOI dado no resolvió. Documento hallado vía búsqueda manual.</t>
  </si>
  <si>
    <t>DOI alucinado. Afirmación verificada en el abstract, pero falló en el enlace.</t>
  </si>
  <si>
    <t>DOI verificado y funcional: 10.1016/j.econedurev.2005.02.005. Revisión del abstract del artículo original.</t>
  </si>
  <si>
    <t>El artículo y el DOI son reales, pero es un estudio de un solo periodo (2000/01). La IA inventó la relación con el índice de Malmquist para forzar el cumplimiento de la pregunta.</t>
  </si>
  <si>
    <t>DOI de la IA verificado y funcional (...omega.2006.05.003). Revisión del documento original.</t>
  </si>
  <si>
    <t>DOI alucinado y alucinación de contenido. No usa Malmquist.</t>
  </si>
  <si>
    <t>DOI resolvió (paywall oficial). Texto completo hallado externamente.</t>
  </si>
  <si>
    <t>Afirmación correcta obtenida sorteando el muro de pago.</t>
  </si>
  <si>
    <t>DOI resolvió (página oficial, acceso de pago / paywall).</t>
  </si>
  <si>
    <t>Paywall. Afirmación matemática confirmada únicamente a través del abstract.</t>
  </si>
  <si>
    <t>DOI resolvió (acceso abierto).</t>
  </si>
  <si>
    <t>Acierto de extracción. Cifras y metodología correctas.</t>
  </si>
  <si>
    <t>Error de sintaxis. La IA duplicó los nombres de los autores en la cita generada.</t>
  </si>
  <si>
    <t>Paywall. Afirmación verificada únicamente a través del abstract.</t>
  </si>
  <si>
    <t>Inconsistencia. La cifra del 76 % aparece en el resumen pero no se sostiene en el cuerpo del texto. Año de publicación erróneo (2026).</t>
  </si>
  <si>
    <t>URL resolvió correctamente.</t>
  </si>
  <si>
    <t>Extracción correcta desde el corpus local.</t>
  </si>
  <si>
    <t>Extracción metodológica precisa. Omite nombre de la revista.</t>
  </si>
  <si>
    <t>URL/DOI incorrecto en la tabla original (repetía el DOI de R12). Texto verificado externamente.</t>
  </si>
  <si>
    <t>Error crítico de generación. La IA copió el DOI de la referencia anterior.</t>
  </si>
  <si>
    <t>Paywall. El corpus local evadió el muro de pago.</t>
  </si>
  <si>
    <t>URL oficial resolvió correctamente.</t>
  </si>
  <si>
    <t>Enlace roto (Error 404). Búsqueda cruzada falla.</t>
  </si>
  <si>
    <t>Alucinación grave. Autores y fecha de publicación fabricados por la IA.</t>
  </si>
  <si>
    <t>Cero resultados en motores de búsqueda académicos.</t>
  </si>
  <si>
    <t>Alucinación total. Artículo fantasma.</t>
  </si>
  <si>
    <t>DOI resolvió (página oficial, acceso de pago). Texto hallado externamente.</t>
  </si>
  <si>
    <t>Afirmación general correcta, verificada sorteando el paywall. (Mismo paper de R03).</t>
  </si>
  <si>
    <t>Sin DOI/URL aportado por la IA. Búsqueda por título arroja cero resultados.</t>
  </si>
  <si>
    <t>Enlace roto (Error 404). Libro cerrado bajo suscripción comercial.</t>
  </si>
  <si>
    <t>Imposible de auditar libremente. La IA arrojó un enlace roto hacia un libro de pago.</t>
  </si>
  <si>
    <t>Paywall. La extracción es correcta pero la verificación queda limitada al abstract.</t>
  </si>
  <si>
    <t>DOI resolvió correctamente.</t>
  </si>
  <si>
    <t>Extracción correcta y metodológica. (Coincidencia con R37/R45).</t>
  </si>
  <si>
    <t>Paywall. Metodología verificada únicamente a través del abstract.</t>
  </si>
  <si>
    <t>DOI verificado (página oficial, acceso de pago / paywall).</t>
  </si>
  <si>
    <t>Paywall. La IA omitió a uno de los coautores (Mar-Molinero) y el nombre de la revista.</t>
  </si>
  <si>
    <t>Paywall. DOI entregado en formato crudo. Omite la revista. (Coincidencia con R38).</t>
  </si>
  <si>
    <t>El enlace proporcionado no abre (servidor caído/roto). La afirmación es correcta porque se extrajo del PDF local.</t>
  </si>
  <si>
    <t>PDF propio. La información existe en el corpus local, pero el enlace web falla. La IA además omitió el nombre de la revista.</t>
  </si>
  <si>
    <t>DOI dado resolvió (acceso abierto). La afirmación se verificó en el resumen del artículo original.</t>
  </si>
  <si>
    <t>PDF propio. Acierto en la extracción del contenido metodológico. El modelo mantiene el patrón de error y omite el nombre de la revista (Archivos Analíticos de Políticas Educativas).</t>
  </si>
  <si>
    <t>El DOI oficial no abre / servidor caído. La afirmación se verificó directamente en el PDF local.</t>
  </si>
  <si>
    <t>PDF propio. El enlace falla, demostrando la necesidad del archivo local. La IA inventó los nombres de pila de los autores y omitió la revista.</t>
  </si>
  <si>
    <t>El enlace dado está roto (error de DOI). La afirmación se verificó en el PDF local.</t>
  </si>
  <si>
    <t>PDF propio. Acierto de extracción. Metadatos incompletos (omite revista) y arrastra el marcador de cita "[18]" del texto original (falla de limpieza RAG).</t>
  </si>
  <si>
    <t>DOI dado resolvió (acceso abierto). La afirmación se verificó en el PDF descargado del corpus.</t>
  </si>
  <si>
    <t>PDF propio. Extracción correcta, pero metadatos incompletos en la cita generada (omitió el nombre de la revista).</t>
  </si>
  <si>
    <t>DOI verificado y funcional (...ingeniare.29.7433). Búsqueda en el PDF original comprobó la cifra.</t>
  </si>
  <si>
    <t>Acierto completo de la IA. Metadatos y afirmación exactos</t>
  </si>
  <si>
    <t>DOI verificado y funcional (...eriesj.2021.140104). Búsqueda en el PDF original confirmó variables y muestra.</t>
  </si>
  <si>
    <t>Acierto completo de la IA.</t>
  </si>
  <si>
    <t>DOI verificado (...eriesj.2023.160404). Se comprobó la muestra y el marco del "Efficient Route".</t>
  </si>
  <si>
    <t xml:space="preserve">Acierto completo de la IA. </t>
  </si>
  <si>
    <t>DOI verificado y funcional (...heliyon.2023.e16002). Búsqueda en el PDF corroboró variables y grupos</t>
  </si>
  <si>
    <t>DOI verificado y funcional (...38116/ppp54art07). Lectura del artículo confirmó los ciclos de ENADE.</t>
  </si>
  <si>
    <t>DOI verificado (...2071-8330.2022/15-2/8).Lectura del PDF comprobó la afirmación.</t>
  </si>
  <si>
    <t xml:space="preserve">Metadatos incompletos. Se omitió el rango de páginas (107-121).
</t>
  </si>
  <si>
    <t>DOI verificado y funcional (...3390/su9081416). Metodología comprobó la variable "Top Quintile".</t>
  </si>
  <si>
    <t>Acierto de anclaje de búsqueda conectada.</t>
  </si>
  <si>
    <t>DOI verificado y funcional (...evalprogplan.2021.101984). Acceso de pago,la afirmación es correcta.</t>
  </si>
  <si>
    <t>Paywall. La fuente existe y sí usa ENADE, pero está bloqueada por suscripción.</t>
  </si>
  <si>
    <t>DOI verificado y funcional (...IJEM-07-2019-0236). Acceso de pago,revisión del abstract confirma que no usa Saber Pro.</t>
  </si>
  <si>
    <t>Paywall. La IA forzó la cita advirtiendo ella misma que no cumplía el criterio.</t>
  </si>
  <si>
    <t>El DOI (...ejor.2016.08.073).Acceso de pago,lleva a un artículo sobre logística en puertos.</t>
  </si>
  <si>
    <t>Paywall y alucinación de DOI. La IA asoció un identificador completamente equivocado.</t>
  </si>
  <si>
    <t>DOI verificado y funcional (...13043/dys.78.2). Revisión cruzada con el PDF del corpus lo confirma.</t>
  </si>
  <si>
    <t>PDF propio. Acierto de extracción local.</t>
  </si>
  <si>
    <t>DOI dado resolvió (página oficial, acceso de pago). Afirmación verificada en el corpus.</t>
  </si>
  <si>
    <t>PDF propio. El modelo extrajo el hallazgo correctamente sorteando el paywall web.</t>
  </si>
  <si>
    <t>DOI dado resolvió (acceso abierto). La afirmación se verificó en el PDF</t>
  </si>
  <si>
    <t>Búsqueda manual del DOI y del título exacto en bases de datos. No hay registros</t>
  </si>
  <si>
    <t>El modelo agotó las referencias válidas de los PDFs y, para cumplir la orden estricta de entregar "cinco", inventó un paper completo.</t>
  </si>
  <si>
    <t>La afirmación se verificó en el PDF descargado del corpus.</t>
  </si>
  <si>
    <t>Trat.</t>
  </si>
  <si>
    <t>Completa (1/0)</t>
  </si>
  <si>
    <t>n Utilizable</t>
  </si>
  <si>
    <t>n Existe/no dice</t>
  </si>
  <si>
    <t>n No existe</t>
  </si>
  <si>
    <t>Clasificación final (mayoría)</t>
  </si>
  <si>
    <t>Acuerdo total (1/0)</t>
  </si>
  <si>
    <t>Par Isa–Edu</t>
  </si>
  <si>
    <t>Par Isa–And</t>
  </si>
  <si>
    <t>Par Edu–And</t>
  </si>
  <si>
    <t>Pᵢ (Fleiss)</t>
  </si>
  <si>
    <t>Desacuerdo con «existe pero no dice eso» (1/0)</t>
  </si>
  <si>
    <t>Resultados del experimento (se calculan solos)</t>
  </si>
  <si>
    <t>z (confianza 95 %)</t>
  </si>
  <si>
    <t>Tabla 1 · Clasificación final por tratamiento</t>
  </si>
  <si>
    <t>n (completas)</t>
  </si>
  <si>
    <t>Existe/no dice</t>
  </si>
  <si>
    <t>Sin mayoría</t>
  </si>
  <si>
    <t>Prop. utilizable</t>
  </si>
  <si>
    <t>IC95 inf. (Wilson)</t>
  </si>
  <si>
    <t>IC95 sup. (Wilson)</t>
  </si>
  <si>
    <t>A · chat sin fuentes (control)</t>
  </si>
  <si>
    <t>B · buscador bibliográfico</t>
  </si>
  <si>
    <t>C · contexto cerrado (PDF propios)</t>
  </si>
  <si>
    <t>Total</t>
  </si>
  <si>
    <t>«Sin mayoría» cuenta en n pero no como utilizable. Resuelvan esos casos en equipo y anoten cómo, en la memoria.</t>
  </si>
  <si>
    <t>Tabla 2 · Proporción utilizable según cada clasificador</t>
  </si>
  <si>
    <t>Tabla 3 · Consistencia de la clasificación (3 clasificadores independientes)</t>
  </si>
  <si>
    <t>Conteo</t>
  </si>
  <si>
    <t>%</t>
  </si>
  <si>
    <t>Referencias clasificadas por los tres (N)</t>
  </si>
  <si>
    <t>Acuerdo total (los tres igual)</t>
  </si>
  <si>
    <t>Con algún desacuerdo</t>
  </si>
  <si>
    <t>Sin mayoría (los tres distinto)</t>
  </si>
  <si>
    <t>Desacuerdos que involucran «existe pero no dice eso»</t>
  </si>
  <si>
    <t>(% sobre los desacuerdos)</t>
  </si>
  <si>
    <t>Acuerdo par Isabella–Eduar</t>
  </si>
  <si>
    <t>Acuerdo par Isabella–Anderson</t>
  </si>
  <si>
    <t>Acuerdo par Eduar–Anderson</t>
  </si>
  <si>
    <t>κ de Fleiss</t>
  </si>
  <si>
    <t>P̄ (acuerdo observado medio)</t>
  </si>
  <si>
    <t>p Utilizable</t>
  </si>
  <si>
    <t>p Existe pero no dice eso</t>
  </si>
  <si>
    <t>p No existe</t>
  </si>
  <si>
    <t>Pₑ (acuerdo esperado por azar)</t>
  </si>
  <si>
    <t>Con N ≈ 45 el κ es inestable: repórtenlo junto al conteo de desacuerdos, no en su lugar.</t>
  </si>
  <si>
    <t>Tabla 4 · Desacuerdo por tratamiento</t>
  </si>
  <si>
    <t>% del tratamiento</t>
  </si>
  <si>
    <t>Tabla 5 · Diferencia entre tratamientos (C − A)</t>
  </si>
  <si>
    <t>Cálculo auxiliar de Fisher (no borrar)</t>
  </si>
  <si>
    <t>Diferencia observada (C − A)</t>
  </si>
  <si>
    <t>k</t>
  </si>
  <si>
    <t>P(k)</t>
  </si>
  <si>
    <t>≤ P(obs)</t>
  </si>
  <si>
    <t>IC95 inferior de la diferencia (Newcombe)</t>
  </si>
  <si>
    <t>IC95 superior de la diferencia (Newcombe)</t>
  </si>
  <si>
    <t>Prueba exacta de Fisher (bilateral),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</si>
</sst>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1"/>
      <color theme="1"/>
      <name val="Calibri"/>
      <family val="2"/>
      <charset val="1"/>
    </font>
    <font>
      <sz val="10"/>
      <name val="Arial"/>
      <family val="2"/>
    </font>
    <font>
      <b/>
      <sz val="13"/>
      <name val="Arial"/>
      <family val="2"/>
    </font>
    <font>
      <b/>
      <sz val="10"/>
      <name val="Arial"/>
      <family val="2"/>
    </font>
    <font>
      <b/>
      <sz val="11"/>
      <color rgb="FFFFFFFF"/>
      <name val="Arial"/>
      <family val="2"/>
    </font>
    <font>
      <sz val="11"/>
      <name val="Arial"/>
      <family val="2"/>
    </font>
    <font>
      <sz val="11"/>
      <color rgb="FF0000FF"/>
      <name val="Arial"/>
      <family val="2"/>
    </font>
    <font>
      <b/>
      <sz val="11"/>
      <name val="Arial"/>
      <family val="2"/>
    </font>
    <font>
      <i/>
      <sz val="9"/>
      <name val="Arial"/>
      <family val="2"/>
    </font>
    <font>
      <u/>
      <sz val="11"/>
      <color theme="10"/>
      <name val="Calibri"/>
      <family val="2"/>
      <charset val="1"/>
    </font>
    <font>
      <u/>
      <sz val="11"/>
      <color theme="1"/>
      <name val="Calibri"/>
      <family val="2"/>
      <charset val="1"/>
    </font>
    <font>
      <sz val="11"/>
      <color rgb="FF000000"/>
      <name val="Arial"/>
    </font>
    <font>
      <u/>
      <sz val="11"/>
      <name val="Arial"/>
      <family val="2"/>
    </font>
    <font>
      <b/>
      <sz val="10"/>
      <name val="Arial"/>
      <charset val="1"/>
    </font>
    <font>
      <sz val="11"/>
      <color rgb="FF000000"/>
      <name val="Calibri"/>
      <family val="2"/>
      <charset val="1"/>
    </font>
    <font>
      <sz val="10"/>
      <name val="Arial"/>
      <charset val="1"/>
    </font>
    <font>
      <i/>
      <sz val="9"/>
      <name val="Arial"/>
      <charset val="1"/>
    </font>
    <font>
      <sz val="9"/>
      <name val="Arial"/>
      <charset val="1"/>
    </font>
    <font>
      <b/>
      <sz val="10"/>
      <color theme="0"/>
      <name val="Arial"/>
      <charset val="1"/>
    </font>
    <font>
      <b/>
      <sz val="9"/>
      <color theme="0"/>
      <name val="Arial"/>
      <charset val="1"/>
    </font>
  </fonts>
  <fills count="5">
    <fill>
      <patternFill patternType="none"/>
    </fill>
    <fill>
      <patternFill patternType="gray125"/>
    </fill>
    <fill>
      <patternFill patternType="solid">
        <fgColor rgb="FF3D008D"/>
        <bgColor rgb="FF000080"/>
      </patternFill>
    </fill>
    <fill>
      <patternFill patternType="solid">
        <fgColor rgb="FFFFF2A8"/>
        <bgColor rgb="FFFFFFCC"/>
      </patternFill>
    </fill>
    <fill>
      <patternFill patternType="solid">
        <fgColor rgb="FF7030A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3">
    <xf numFmtId="0" fontId="0" fillId="0" borderId="0"/>
    <xf numFmtId="0" fontId="9" fillId="0" borderId="0" applyNumberFormat="0" applyFill="0" applyBorder="0" applyAlignment="0" applyProtection="0"/>
    <xf numFmtId="0" fontId="9" fillId="0" borderId="0" applyNumberFormat="0" applyFill="0" applyBorder="0" applyAlignment="0" applyProtection="0"/>
  </cellStyleXfs>
  <cellXfs count="37">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5" fillId="0" borderId="0" xfId="0" applyFont="1"/>
    <xf numFmtId="0" fontId="5" fillId="3" borderId="1" xfId="0" applyFont="1" applyFill="1" applyBorder="1" applyAlignment="1">
      <alignment vertical="top" wrapText="1"/>
    </xf>
    <xf numFmtId="0" fontId="5" fillId="0" borderId="1" xfId="0" applyFont="1" applyBorder="1" applyAlignment="1">
      <alignment vertical="top" wrapText="1"/>
    </xf>
    <xf numFmtId="0" fontId="5" fillId="0" borderId="1" xfId="0" applyFont="1" applyBorder="1"/>
    <xf numFmtId="164" fontId="5" fillId="0" borderId="1" xfId="0" applyNumberFormat="1" applyFont="1" applyBorder="1"/>
    <xf numFmtId="0" fontId="2" fillId="0" borderId="0" xfId="0" applyFont="1"/>
    <xf numFmtId="0" fontId="6" fillId="3" borderId="0" xfId="0" applyFont="1" applyFill="1"/>
    <xf numFmtId="0" fontId="7" fillId="0" borderId="0" xfId="0" applyFont="1"/>
    <xf numFmtId="0" fontId="4" fillId="2" borderId="1" xfId="0" applyFont="1" applyFill="1" applyBorder="1" applyAlignment="1">
      <alignment wrapText="1"/>
    </xf>
    <xf numFmtId="165" fontId="5" fillId="0" borderId="1" xfId="0" applyNumberFormat="1" applyFont="1" applyBorder="1"/>
    <xf numFmtId="0" fontId="7" fillId="0" borderId="1" xfId="0" applyFont="1" applyBorder="1"/>
    <xf numFmtId="165" fontId="7" fillId="0" borderId="1" xfId="0" applyNumberFormat="1" applyFont="1" applyBorder="1"/>
    <xf numFmtId="0" fontId="8" fillId="0" borderId="0" xfId="0" applyFont="1"/>
    <xf numFmtId="0" fontId="4" fillId="2" borderId="1" xfId="0" applyFont="1" applyFill="1" applyBorder="1"/>
    <xf numFmtId="0" fontId="0" fillId="0" borderId="1" xfId="0" applyBorder="1"/>
    <xf numFmtId="165" fontId="0" fillId="0" borderId="1" xfId="0" applyNumberFormat="1" applyBorder="1"/>
    <xf numFmtId="164" fontId="7" fillId="0" borderId="1" xfId="0" applyNumberFormat="1" applyFont="1" applyBorder="1"/>
    <xf numFmtId="0" fontId="9" fillId="3" borderId="1" xfId="1" applyFill="1" applyBorder="1" applyAlignment="1">
      <alignment vertical="top" wrapText="1"/>
    </xf>
    <xf numFmtId="0" fontId="9" fillId="3" borderId="1" xfId="2" applyFill="1" applyBorder="1" applyAlignment="1">
      <alignment vertical="top" wrapText="1"/>
    </xf>
    <xf numFmtId="0" fontId="1" fillId="0" borderId="0" xfId="0" applyFont="1" applyAlignment="1">
      <alignment vertical="top" wrapText="1"/>
    </xf>
    <xf numFmtId="0" fontId="10" fillId="0" borderId="0" xfId="0" applyFont="1"/>
    <xf numFmtId="0" fontId="11" fillId="3" borderId="1" xfId="0" applyFont="1" applyFill="1" applyBorder="1" applyAlignment="1">
      <alignment vertical="top" wrapText="1"/>
    </xf>
    <xf numFmtId="0" fontId="5" fillId="3" borderId="2" xfId="0" applyFont="1" applyFill="1" applyBorder="1" applyAlignment="1">
      <alignment vertical="top" wrapText="1"/>
    </xf>
    <xf numFmtId="0" fontId="5" fillId="3" borderId="3" xfId="0" applyFont="1" applyFill="1" applyBorder="1" applyAlignment="1">
      <alignment vertical="top" wrapText="1"/>
    </xf>
    <xf numFmtId="0" fontId="12" fillId="0" borderId="1" xfId="0" applyFont="1" applyBorder="1"/>
    <xf numFmtId="0" fontId="13" fillId="0" borderId="0" xfId="0" applyFont="1"/>
    <xf numFmtId="0" fontId="14" fillId="0" borderId="0" xfId="0" applyFont="1"/>
    <xf numFmtId="0" fontId="15" fillId="0" borderId="0" xfId="0" applyFont="1"/>
    <xf numFmtId="10" fontId="15" fillId="0" borderId="0" xfId="0" applyNumberFormat="1" applyFont="1"/>
    <xf numFmtId="0" fontId="16" fillId="0" borderId="0" xfId="0" applyFont="1"/>
    <xf numFmtId="0" fontId="17" fillId="0" borderId="0" xfId="0" applyFont="1"/>
    <xf numFmtId="0" fontId="18" fillId="4" borderId="0" xfId="0" applyFont="1" applyFill="1"/>
    <xf numFmtId="0" fontId="19" fillId="4" borderId="0" xfId="0" applyFont="1" applyFill="1"/>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3D008D"/>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dx.doi.org/10.14482/indes.25.2.10957%5d(https:/www.google.com/url?sa=E&amp;amp;q=http%3A%2F%2Fdx.doi.org%2F10.14482%2Findes.25.2.10957)" TargetMode="External"/><Relationship Id="rId18" Type="http://schemas.openxmlformats.org/officeDocument/2006/relationships/hyperlink" Target="https://revistas.utb.edu.co/economiayregion/article/view/106/87" TargetMode="External"/><Relationship Id="rId26" Type="http://schemas.openxmlformats.org/officeDocument/2006/relationships/hyperlink" Target="https://doi.org/10.22518/16578953.537" TargetMode="External"/><Relationship Id="rId3" Type="http://schemas.openxmlformats.org/officeDocument/2006/relationships/hyperlink" Target="https://doi.org/10.1016/j.econedurev.2005.02.005" TargetMode="External"/><Relationship Id="rId21" Type="http://schemas.openxmlformats.org/officeDocument/2006/relationships/hyperlink" Target="https://doi.org/10.7160/eriesj.2023.160404" TargetMode="External"/><Relationship Id="rId7" Type="http://schemas.openxmlformats.org/officeDocument/2006/relationships/hyperlink" Target="https://www.google.com/url?sa=E&amp;q=https%3A%2F%2Fdoi.org%2F10.14507%2Fepaa.30.7310" TargetMode="External"/><Relationship Id="rId12" Type="http://schemas.openxmlformats.org/officeDocument/2006/relationships/hyperlink" Target="https://doi.org/10.1016/j.econedurev.2005.02.005" TargetMode="External"/><Relationship Id="rId17" Type="http://schemas.openxmlformats.org/officeDocument/2006/relationships/hyperlink" Target="https://doi.org/10.1016/S1665-6423(14)71606-2" TargetMode="External"/><Relationship Id="rId25" Type="http://schemas.openxmlformats.org/officeDocument/2006/relationships/hyperlink" Target="https://doi.org/10.1016/j.econmod.2012.11.018" TargetMode="External"/><Relationship Id="rId33" Type="http://schemas.openxmlformats.org/officeDocument/2006/relationships/hyperlink" Target="https://doi.org/10.1016/j.ejor.2016.08.073" TargetMode="External"/><Relationship Id="rId2" Type="http://schemas.openxmlformats.org/officeDocument/2006/relationships/hyperlink" Target="https://doi.org/10.1080/0904529042000258586" TargetMode="External"/><Relationship Id="rId16" Type="http://schemas.openxmlformats.org/officeDocument/2006/relationships/hyperlink" Target="https://doi.org/10.1590/0034-761220190232x%5d(https:/www.google.com/url?sa=E&amp;amp;q=https%3A%2F%2Fdoi.org%2F10.1590%2F0034-761220190232x)" TargetMode="External"/><Relationship Id="rId20" Type="http://schemas.openxmlformats.org/officeDocument/2006/relationships/hyperlink" Target="https://doi.org/10.7160/eriesj.2021.140104" TargetMode="External"/><Relationship Id="rId29" Type="http://schemas.openxmlformats.org/officeDocument/2006/relationships/hyperlink" Target="https://doi.org/10.14254/2071-8330.2022/15-2/8" TargetMode="External"/><Relationship Id="rId1" Type="http://schemas.openxmlformats.org/officeDocument/2006/relationships/hyperlink" Target="https://doi.org/10.1016/j.econedurev.2006.10.006" TargetMode="External"/><Relationship Id="rId6" Type="http://schemas.openxmlformats.org/officeDocument/2006/relationships/hyperlink" Target="https://www.google.com/url?sa=E&amp;q=http%3A%2F%2Fwww.redalyc.org%2Farticulo.oa%3Fid%3D26854666001" TargetMode="External"/><Relationship Id="rId11" Type="http://schemas.openxmlformats.org/officeDocument/2006/relationships/hyperlink" Target="https://us.sagepub.com/en-us/nam/an-introduction-to-data-envelopment-analysis/book2262" TargetMode="External"/><Relationship Id="rId24" Type="http://schemas.openxmlformats.org/officeDocument/2006/relationships/hyperlink" Target="https://doi.org/10.13043/dys.78.2" TargetMode="External"/><Relationship Id="rId32" Type="http://schemas.openxmlformats.org/officeDocument/2006/relationships/hyperlink" Target="https://doi.org/10.1108/IJEM-07-2019-0236" TargetMode="External"/><Relationship Id="rId5" Type="http://schemas.openxmlformats.org/officeDocument/2006/relationships/hyperlink" Target="https://doi.org/10.1016/S0272-7757(01)00068-1" TargetMode="External"/><Relationship Id="rId15" Type="http://schemas.openxmlformats.org/officeDocument/2006/relationships/hyperlink" Target="https://doi.org/10.22518/16578953.537%5d(https:/www.google.com/url?sa=E&amp;amp;q=https%3A%2F%2Fdoi.org%2F10.22518%2F16578953.537)" TargetMode="External"/><Relationship Id="rId23" Type="http://schemas.openxmlformats.org/officeDocument/2006/relationships/hyperlink" Target="https://doi.org/10.38116/ppp54art07" TargetMode="External"/><Relationship Id="rId28" Type="http://schemas.openxmlformats.org/officeDocument/2006/relationships/hyperlink" Target="https://doi.org/10.3390/su9081416" TargetMode="External"/><Relationship Id="rId10" Type="http://schemas.openxmlformats.org/officeDocument/2006/relationships/hyperlink" Target="https://www.banrep.gov.co/es/borradores-economia" TargetMode="External"/><Relationship Id="rId19" Type="http://schemas.openxmlformats.org/officeDocument/2006/relationships/hyperlink" Target="https://doi.org/10.18041/1909-2458/ingeniare.29.7433" TargetMode="External"/><Relationship Id="rId31" Type="http://schemas.openxmlformats.org/officeDocument/2006/relationships/hyperlink" Target="https://doi.org/10.1016/j.evalprogplan.2021.101984" TargetMode="External"/><Relationship Id="rId4" Type="http://schemas.openxmlformats.org/officeDocument/2006/relationships/hyperlink" Target="https://doi.org/10.1016/j.omega.2006.05.003" TargetMode="External"/><Relationship Id="rId9" Type="http://schemas.openxmlformats.org/officeDocument/2006/relationships/hyperlink" Target="https://www.google.com/url?sa=E&amp;q=https%3A%2F%2Fdoi.org%2F10.1080%2F0904529042000258590" TargetMode="External"/><Relationship Id="rId14" Type="http://schemas.openxmlformats.org/officeDocument/2006/relationships/hyperlink" Target="https://doi.org/10.14507/epaa.30.7310" TargetMode="External"/><Relationship Id="rId22" Type="http://schemas.openxmlformats.org/officeDocument/2006/relationships/hyperlink" Target="https://doi.org/10.1016/j.heliyon.2023.e16002" TargetMode="External"/><Relationship Id="rId27" Type="http://schemas.openxmlformats.org/officeDocument/2006/relationships/hyperlink" Target="https://doi.org/10.1590/S2176-66812014000300007" TargetMode="External"/><Relationship Id="rId30" Type="http://schemas.openxmlformats.org/officeDocument/2006/relationships/hyperlink" Target="https://doi.org/10.3390/su9081416" TargetMode="External"/><Relationship Id="rId8" Type="http://schemas.openxmlformats.org/officeDocument/2006/relationships/hyperlink" Target="https://www.google.com/url?sa=E&amp;q=https%3A%2F%2Fdoi.org%2F10.14507%2Fepaa.30.7310"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election activeCell="A13" sqref="A13"/>
    </sheetView>
  </sheetViews>
  <sheetFormatPr baseColWidth="10" defaultColWidth="8.7109375" defaultRowHeight="15" x14ac:dyDescent="0.25"/>
  <cols>
    <col min="1" max="1" width="110" customWidth="1"/>
  </cols>
  <sheetData>
    <row r="1" spans="1:1" ht="16.5" x14ac:dyDescent="0.25">
      <c r="A1" s="1" t="s">
        <v>0</v>
      </c>
    </row>
    <row r="2" spans="1:1" x14ac:dyDescent="0.25">
      <c r="A2" s="23" t="s">
        <v>1</v>
      </c>
    </row>
    <row r="3" spans="1:1" x14ac:dyDescent="0.25">
      <c r="A3" s="23"/>
    </row>
    <row r="4" spans="1:1" x14ac:dyDescent="0.25">
      <c r="A4" s="2" t="s">
        <v>2</v>
      </c>
    </row>
    <row r="5" spans="1:1" ht="25.5" x14ac:dyDescent="0.25">
      <c r="A5" s="23" t="s">
        <v>3</v>
      </c>
    </row>
    <row r="6" spans="1:1" x14ac:dyDescent="0.25">
      <c r="A6" s="23"/>
    </row>
    <row r="7" spans="1:1" x14ac:dyDescent="0.25">
      <c r="A7" s="2" t="s">
        <v>4</v>
      </c>
    </row>
    <row r="8" spans="1:1" ht="25.5" x14ac:dyDescent="0.25">
      <c r="A8" s="23" t="s">
        <v>5</v>
      </c>
    </row>
    <row r="9" spans="1:1" ht="25.5" x14ac:dyDescent="0.25">
      <c r="A9" s="23" t="s">
        <v>6</v>
      </c>
    </row>
    <row r="10" spans="1:1" ht="38.25" x14ac:dyDescent="0.25">
      <c r="A10" s="23" t="s">
        <v>7</v>
      </c>
    </row>
    <row r="11" spans="1:1" x14ac:dyDescent="0.25">
      <c r="A11" s="23"/>
    </row>
    <row r="12" spans="1:1" x14ac:dyDescent="0.25">
      <c r="A12" s="2" t="s">
        <v>8</v>
      </c>
    </row>
    <row r="13" spans="1:1" ht="25.5" x14ac:dyDescent="0.25">
      <c r="A13" s="23" t="s">
        <v>9</v>
      </c>
    </row>
    <row r="14" spans="1:1" x14ac:dyDescent="0.25">
      <c r="A14" s="23"/>
    </row>
    <row r="15" spans="1:1" x14ac:dyDescent="0.25">
      <c r="A15" s="2" t="s">
        <v>10</v>
      </c>
    </row>
    <row r="16" spans="1:1" ht="25.5" x14ac:dyDescent="0.25">
      <c r="A16" s="23" t="s">
        <v>11</v>
      </c>
    </row>
    <row r="17" spans="1:1" x14ac:dyDescent="0.25">
      <c r="A17" s="23" t="s">
        <v>12</v>
      </c>
    </row>
    <row r="18" spans="1:1" x14ac:dyDescent="0.25">
      <c r="A18" s="23" t="s">
        <v>13</v>
      </c>
    </row>
    <row r="19" spans="1:1" x14ac:dyDescent="0.25">
      <c r="A19" s="23"/>
    </row>
    <row r="20" spans="1:1" x14ac:dyDescent="0.25">
      <c r="A20" s="2" t="s">
        <v>14</v>
      </c>
    </row>
    <row r="21" spans="1:1" ht="38.25" x14ac:dyDescent="0.25">
      <c r="A21" s="23"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zoomScaleNormal="100" workbookViewId="0">
      <pane ySplit="1" topLeftCell="A34" activePane="bottomLeft" state="frozen"/>
      <selection pane="bottomLeft" activeCell="F34" sqref="F34"/>
    </sheetView>
  </sheetViews>
  <sheetFormatPr baseColWidth="10" defaultColWidth="8.7109375" defaultRowHeight="15" x14ac:dyDescent="0.25"/>
  <cols>
    <col min="1" max="1" width="7" customWidth="1"/>
    <col min="2" max="2" width="14" customWidth="1"/>
    <col min="3" max="3" width="34" customWidth="1"/>
    <col min="4" max="4" width="16.140625" customWidth="1"/>
    <col min="5" max="5" width="50" customWidth="1"/>
    <col min="6" max="6" width="28" customWidth="1"/>
    <col min="7" max="7" width="50" customWidth="1"/>
  </cols>
  <sheetData>
    <row r="1" spans="1:7" ht="30" x14ac:dyDescent="0.25">
      <c r="A1" s="3" t="s">
        <v>16</v>
      </c>
      <c r="B1" s="3" t="s">
        <v>17</v>
      </c>
      <c r="C1" s="3" t="s">
        <v>18</v>
      </c>
      <c r="D1" s="3" t="s">
        <v>19</v>
      </c>
      <c r="E1" s="3" t="s">
        <v>20</v>
      </c>
      <c r="F1" s="3" t="s">
        <v>21</v>
      </c>
      <c r="G1" s="3" t="s">
        <v>22</v>
      </c>
    </row>
    <row r="2" spans="1:7" ht="223.5" customHeight="1" x14ac:dyDescent="0.25">
      <c r="A2" s="4" t="s">
        <v>23</v>
      </c>
      <c r="B2" s="5" t="s">
        <v>24</v>
      </c>
      <c r="C2" s="5" t="s">
        <v>25</v>
      </c>
      <c r="D2" s="5" t="s">
        <v>26</v>
      </c>
      <c r="E2" s="5" t="s">
        <v>27</v>
      </c>
      <c r="F2" s="22" t="s">
        <v>28</v>
      </c>
      <c r="G2" s="5" t="s">
        <v>29</v>
      </c>
    </row>
    <row r="3" spans="1:7" ht="213.75" x14ac:dyDescent="0.25">
      <c r="A3" s="4" t="s">
        <v>30</v>
      </c>
      <c r="B3" s="5" t="s">
        <v>24</v>
      </c>
      <c r="C3" s="5" t="s">
        <v>25</v>
      </c>
      <c r="D3" s="5" t="s">
        <v>26</v>
      </c>
      <c r="E3" s="5" t="s">
        <v>31</v>
      </c>
      <c r="F3" s="21" t="s">
        <v>32</v>
      </c>
      <c r="G3" s="5" t="s">
        <v>33</v>
      </c>
    </row>
    <row r="4" spans="1:7" ht="213.75" x14ac:dyDescent="0.25">
      <c r="A4" s="4" t="s">
        <v>34</v>
      </c>
      <c r="B4" s="5" t="s">
        <v>24</v>
      </c>
      <c r="C4" s="5" t="s">
        <v>25</v>
      </c>
      <c r="D4" s="5" t="s">
        <v>26</v>
      </c>
      <c r="E4" s="5" t="s">
        <v>35</v>
      </c>
      <c r="F4" s="21" t="s">
        <v>36</v>
      </c>
      <c r="G4" s="5" t="s">
        <v>37</v>
      </c>
    </row>
    <row r="5" spans="1:7" ht="213.75" x14ac:dyDescent="0.25">
      <c r="A5" s="4" t="s">
        <v>38</v>
      </c>
      <c r="B5" s="5" t="s">
        <v>24</v>
      </c>
      <c r="C5" s="5" t="s">
        <v>25</v>
      </c>
      <c r="D5" s="5" t="s">
        <v>26</v>
      </c>
      <c r="E5" s="5" t="s">
        <v>39</v>
      </c>
      <c r="F5" s="21" t="s">
        <v>40</v>
      </c>
      <c r="G5" s="5" t="s">
        <v>41</v>
      </c>
    </row>
    <row r="6" spans="1:7" ht="213.75" x14ac:dyDescent="0.25">
      <c r="A6" s="4" t="s">
        <v>42</v>
      </c>
      <c r="B6" s="5" t="s">
        <v>24</v>
      </c>
      <c r="C6" s="5" t="s">
        <v>25</v>
      </c>
      <c r="D6" s="5" t="s">
        <v>26</v>
      </c>
      <c r="E6" s="5" t="s">
        <v>43</v>
      </c>
      <c r="F6" s="21" t="s">
        <v>44</v>
      </c>
      <c r="G6" s="5" t="s">
        <v>45</v>
      </c>
    </row>
    <row r="7" spans="1:7" ht="213.75" x14ac:dyDescent="0.25">
      <c r="A7" s="4" t="s">
        <v>46</v>
      </c>
      <c r="B7" s="5" t="s">
        <v>24</v>
      </c>
      <c r="C7" s="5" t="s">
        <v>25</v>
      </c>
      <c r="D7" s="5" t="s">
        <v>47</v>
      </c>
      <c r="E7" s="5" t="s">
        <v>48</v>
      </c>
      <c r="F7" s="5" t="s">
        <v>49</v>
      </c>
      <c r="G7" s="5" t="s">
        <v>50</v>
      </c>
    </row>
    <row r="8" spans="1:7" ht="213.75" x14ac:dyDescent="0.25">
      <c r="A8" s="4" t="s">
        <v>51</v>
      </c>
      <c r="B8" s="5" t="s">
        <v>24</v>
      </c>
      <c r="C8" s="5" t="s">
        <v>25</v>
      </c>
      <c r="D8" s="5" t="s">
        <v>47</v>
      </c>
      <c r="E8" s="5" t="s">
        <v>52</v>
      </c>
      <c r="F8" s="5" t="s">
        <v>53</v>
      </c>
      <c r="G8" s="5" t="s">
        <v>54</v>
      </c>
    </row>
    <row r="9" spans="1:7" ht="213.75" x14ac:dyDescent="0.25">
      <c r="A9" s="4" t="s">
        <v>55</v>
      </c>
      <c r="B9" s="5" t="s">
        <v>24</v>
      </c>
      <c r="C9" s="5" t="s">
        <v>25</v>
      </c>
      <c r="D9" s="5" t="s">
        <v>47</v>
      </c>
      <c r="E9" s="5" t="s">
        <v>56</v>
      </c>
      <c r="F9" s="5" t="s">
        <v>57</v>
      </c>
      <c r="G9" s="5" t="s">
        <v>58</v>
      </c>
    </row>
    <row r="10" spans="1:7" ht="213.75" x14ac:dyDescent="0.25">
      <c r="A10" s="4" t="s">
        <v>59</v>
      </c>
      <c r="B10" s="5" t="s">
        <v>24</v>
      </c>
      <c r="C10" s="5" t="s">
        <v>25</v>
      </c>
      <c r="D10" s="5" t="s">
        <v>47</v>
      </c>
      <c r="E10" s="5" t="s">
        <v>60</v>
      </c>
      <c r="F10" s="5" t="s">
        <v>61</v>
      </c>
      <c r="G10" s="5" t="s">
        <v>62</v>
      </c>
    </row>
    <row r="11" spans="1:7" ht="213.75" x14ac:dyDescent="0.25">
      <c r="A11" s="4" t="s">
        <v>63</v>
      </c>
      <c r="B11" s="5" t="s">
        <v>24</v>
      </c>
      <c r="C11" s="5" t="s">
        <v>25</v>
      </c>
      <c r="D11" s="5" t="s">
        <v>47</v>
      </c>
      <c r="E11" s="5" t="s">
        <v>64</v>
      </c>
      <c r="F11" s="5" t="s">
        <v>65</v>
      </c>
      <c r="G11" s="5" t="s">
        <v>66</v>
      </c>
    </row>
    <row r="12" spans="1:7" ht="213.75" x14ac:dyDescent="0.25">
      <c r="A12" s="4" t="s">
        <v>67</v>
      </c>
      <c r="B12" s="5" t="s">
        <v>24</v>
      </c>
      <c r="C12" s="5" t="s">
        <v>25</v>
      </c>
      <c r="D12" s="5" t="s">
        <v>68</v>
      </c>
      <c r="E12" s="5" t="s">
        <v>69</v>
      </c>
      <c r="F12" s="22" t="s">
        <v>70</v>
      </c>
      <c r="G12" s="5" t="s">
        <v>71</v>
      </c>
    </row>
    <row r="13" spans="1:7" ht="213.75" x14ac:dyDescent="0.25">
      <c r="A13" s="4" t="s">
        <v>72</v>
      </c>
      <c r="B13" s="5" t="s">
        <v>24</v>
      </c>
      <c r="C13" s="5" t="s">
        <v>25</v>
      </c>
      <c r="D13" s="5" t="s">
        <v>68</v>
      </c>
      <c r="E13" s="5" t="s">
        <v>73</v>
      </c>
      <c r="F13" s="21" t="s">
        <v>74</v>
      </c>
      <c r="G13" s="5" t="s">
        <v>75</v>
      </c>
    </row>
    <row r="14" spans="1:7" ht="213.75" x14ac:dyDescent="0.25">
      <c r="A14" s="4" t="s">
        <v>76</v>
      </c>
      <c r="B14" s="5" t="s">
        <v>24</v>
      </c>
      <c r="C14" s="5" t="s">
        <v>25</v>
      </c>
      <c r="D14" s="5" t="s">
        <v>68</v>
      </c>
      <c r="E14" s="5" t="s">
        <v>77</v>
      </c>
      <c r="F14" s="21" t="s">
        <v>74</v>
      </c>
      <c r="G14" s="5" t="s">
        <v>78</v>
      </c>
    </row>
    <row r="15" spans="1:7" ht="213.75" x14ac:dyDescent="0.25">
      <c r="A15" s="4" t="s">
        <v>79</v>
      </c>
      <c r="B15" s="5" t="s">
        <v>24</v>
      </c>
      <c r="C15" s="5" t="s">
        <v>25</v>
      </c>
      <c r="D15" s="5" t="s">
        <v>68</v>
      </c>
      <c r="E15" s="5" t="s">
        <v>80</v>
      </c>
      <c r="F15" s="21" t="s">
        <v>81</v>
      </c>
      <c r="G15" s="5" t="s">
        <v>82</v>
      </c>
    </row>
    <row r="16" spans="1:7" ht="213.75" x14ac:dyDescent="0.25">
      <c r="A16" s="4" t="s">
        <v>83</v>
      </c>
      <c r="B16" s="5" t="s">
        <v>24</v>
      </c>
      <c r="C16" s="5" t="s">
        <v>25</v>
      </c>
      <c r="D16" s="5" t="s">
        <v>68</v>
      </c>
      <c r="E16" s="5" t="s">
        <v>84</v>
      </c>
      <c r="F16" s="22" t="s">
        <v>85</v>
      </c>
      <c r="G16" s="5" t="s">
        <v>86</v>
      </c>
    </row>
    <row r="17" spans="1:7" ht="228" x14ac:dyDescent="0.25">
      <c r="A17" s="4" t="s">
        <v>87</v>
      </c>
      <c r="B17" s="5" t="s">
        <v>88</v>
      </c>
      <c r="C17" s="5" t="s">
        <v>89</v>
      </c>
      <c r="D17" s="5" t="s">
        <v>26</v>
      </c>
      <c r="E17" s="5" t="s">
        <v>90</v>
      </c>
      <c r="F17" s="22" t="s">
        <v>91</v>
      </c>
      <c r="G17" s="5" t="s">
        <v>92</v>
      </c>
    </row>
    <row r="18" spans="1:7" ht="228" x14ac:dyDescent="0.25">
      <c r="A18" s="4" t="s">
        <v>93</v>
      </c>
      <c r="B18" s="5" t="s">
        <v>88</v>
      </c>
      <c r="C18" s="5" t="s">
        <v>89</v>
      </c>
      <c r="D18" s="5" t="s">
        <v>26</v>
      </c>
      <c r="E18" s="5" t="s">
        <v>94</v>
      </c>
      <c r="F18" s="5" t="s">
        <v>95</v>
      </c>
      <c r="G18" s="5" t="s">
        <v>96</v>
      </c>
    </row>
    <row r="19" spans="1:7" ht="228" x14ac:dyDescent="0.25">
      <c r="A19" s="4" t="s">
        <v>97</v>
      </c>
      <c r="B19" s="5" t="s">
        <v>88</v>
      </c>
      <c r="C19" s="5" t="s">
        <v>89</v>
      </c>
      <c r="D19" s="5" t="s">
        <v>26</v>
      </c>
      <c r="E19" s="5" t="s">
        <v>98</v>
      </c>
      <c r="F19" s="22" t="s">
        <v>36</v>
      </c>
      <c r="G19" s="5" t="s">
        <v>99</v>
      </c>
    </row>
    <row r="20" spans="1:7" ht="228" x14ac:dyDescent="0.25">
      <c r="A20" s="4" t="s">
        <v>100</v>
      </c>
      <c r="B20" s="5" t="s">
        <v>88</v>
      </c>
      <c r="C20" s="5" t="s">
        <v>89</v>
      </c>
      <c r="D20" s="5" t="s">
        <v>26</v>
      </c>
      <c r="E20" s="5" t="s">
        <v>101</v>
      </c>
      <c r="F20" s="5" t="s">
        <v>102</v>
      </c>
      <c r="G20" s="5" t="s">
        <v>92</v>
      </c>
    </row>
    <row r="21" spans="1:7" ht="228" x14ac:dyDescent="0.25">
      <c r="A21" s="4" t="s">
        <v>103</v>
      </c>
      <c r="B21" s="5" t="s">
        <v>88</v>
      </c>
      <c r="C21" s="5" t="s">
        <v>89</v>
      </c>
      <c r="D21" s="5" t="s">
        <v>26</v>
      </c>
      <c r="E21" s="5" t="s">
        <v>104</v>
      </c>
      <c r="F21" s="22" t="s">
        <v>105</v>
      </c>
      <c r="G21" s="5" t="s">
        <v>106</v>
      </c>
    </row>
    <row r="22" spans="1:7" ht="228" x14ac:dyDescent="0.25">
      <c r="A22" s="4" t="s">
        <v>107</v>
      </c>
      <c r="B22" s="5" t="s">
        <v>88</v>
      </c>
      <c r="C22" s="5" t="s">
        <v>89</v>
      </c>
      <c r="D22" s="5" t="s">
        <v>47</v>
      </c>
      <c r="E22" s="5" t="s">
        <v>108</v>
      </c>
      <c r="F22" s="5" t="s">
        <v>109</v>
      </c>
      <c r="G22" s="5" t="s">
        <v>110</v>
      </c>
    </row>
    <row r="23" spans="1:7" ht="228" x14ac:dyDescent="0.25">
      <c r="A23" s="4" t="s">
        <v>111</v>
      </c>
      <c r="B23" s="5" t="s">
        <v>88</v>
      </c>
      <c r="C23" s="5" t="s">
        <v>89</v>
      </c>
      <c r="D23" s="5" t="s">
        <v>47</v>
      </c>
      <c r="E23" s="5" t="s">
        <v>112</v>
      </c>
      <c r="F23" s="5" t="s">
        <v>113</v>
      </c>
      <c r="G23" s="5" t="s">
        <v>114</v>
      </c>
    </row>
    <row r="24" spans="1:7" ht="228" x14ac:dyDescent="0.25">
      <c r="A24" s="4" t="s">
        <v>115</v>
      </c>
      <c r="B24" s="5" t="s">
        <v>88</v>
      </c>
      <c r="C24" s="5" t="s">
        <v>89</v>
      </c>
      <c r="D24" s="5" t="s">
        <v>47</v>
      </c>
      <c r="E24" s="5" t="s">
        <v>116</v>
      </c>
      <c r="F24" s="5" t="s">
        <v>117</v>
      </c>
      <c r="G24" s="5" t="s">
        <v>118</v>
      </c>
    </row>
    <row r="25" spans="1:7" ht="228" x14ac:dyDescent="0.25">
      <c r="A25" s="4" t="s">
        <v>119</v>
      </c>
      <c r="B25" s="5" t="s">
        <v>88</v>
      </c>
      <c r="C25" s="5" t="s">
        <v>89</v>
      </c>
      <c r="D25" s="5" t="s">
        <v>47</v>
      </c>
      <c r="E25" s="5" t="s">
        <v>120</v>
      </c>
      <c r="F25" s="5" t="s">
        <v>121</v>
      </c>
      <c r="G25" s="5" t="s">
        <v>122</v>
      </c>
    </row>
    <row r="26" spans="1:7" ht="228" x14ac:dyDescent="0.25">
      <c r="A26" s="4" t="s">
        <v>123</v>
      </c>
      <c r="B26" s="5" t="s">
        <v>88</v>
      </c>
      <c r="C26" s="5" t="s">
        <v>89</v>
      </c>
      <c r="D26" s="5" t="s">
        <v>47</v>
      </c>
      <c r="E26" s="5" t="s">
        <v>124</v>
      </c>
      <c r="F26" s="5" t="s">
        <v>125</v>
      </c>
      <c r="G26" s="5" t="s">
        <v>126</v>
      </c>
    </row>
    <row r="27" spans="1:7" ht="228" x14ac:dyDescent="0.25">
      <c r="A27" s="4" t="s">
        <v>127</v>
      </c>
      <c r="B27" s="5" t="s">
        <v>88</v>
      </c>
      <c r="C27" s="5" t="s">
        <v>89</v>
      </c>
      <c r="D27" s="5" t="s">
        <v>68</v>
      </c>
      <c r="E27" s="5" t="s">
        <v>128</v>
      </c>
      <c r="F27" s="22" t="s">
        <v>129</v>
      </c>
      <c r="G27" s="5" t="s">
        <v>130</v>
      </c>
    </row>
    <row r="28" spans="1:7" ht="228" x14ac:dyDescent="0.25">
      <c r="A28" s="4" t="s">
        <v>131</v>
      </c>
      <c r="B28" s="5" t="s">
        <v>88</v>
      </c>
      <c r="C28" s="5" t="s">
        <v>89</v>
      </c>
      <c r="D28" s="5" t="s">
        <v>68</v>
      </c>
      <c r="E28" s="5" t="s">
        <v>132</v>
      </c>
      <c r="F28" s="22" t="s">
        <v>133</v>
      </c>
      <c r="G28" s="5" t="s">
        <v>134</v>
      </c>
    </row>
    <row r="29" spans="1:7" ht="228" x14ac:dyDescent="0.25">
      <c r="A29" s="4" t="s">
        <v>135</v>
      </c>
      <c r="B29" s="5" t="s">
        <v>88</v>
      </c>
      <c r="C29" s="5" t="s">
        <v>89</v>
      </c>
      <c r="D29" s="5" t="s">
        <v>68</v>
      </c>
      <c r="E29" s="5" t="s">
        <v>136</v>
      </c>
      <c r="F29" s="22" t="s">
        <v>137</v>
      </c>
      <c r="G29" s="5" t="s">
        <v>138</v>
      </c>
    </row>
    <row r="30" spans="1:7" ht="228" x14ac:dyDescent="0.25">
      <c r="A30" s="4" t="s">
        <v>139</v>
      </c>
      <c r="B30" s="5" t="s">
        <v>88</v>
      </c>
      <c r="C30" s="5" t="s">
        <v>89</v>
      </c>
      <c r="D30" s="5" t="s">
        <v>68</v>
      </c>
      <c r="E30" s="5" t="s">
        <v>140</v>
      </c>
      <c r="F30" s="22" t="s">
        <v>141</v>
      </c>
      <c r="G30" s="5" t="s">
        <v>142</v>
      </c>
    </row>
    <row r="31" spans="1:7" ht="228" x14ac:dyDescent="0.25">
      <c r="A31" s="4" t="s">
        <v>143</v>
      </c>
      <c r="B31" s="5" t="s">
        <v>88</v>
      </c>
      <c r="C31" s="5" t="s">
        <v>89</v>
      </c>
      <c r="D31" s="5" t="s">
        <v>68</v>
      </c>
      <c r="E31" s="5" t="s">
        <v>144</v>
      </c>
      <c r="F31" s="22" t="s">
        <v>145</v>
      </c>
      <c r="G31" s="5" t="s">
        <v>146</v>
      </c>
    </row>
    <row r="32" spans="1:7" ht="242.25" x14ac:dyDescent="0.25">
      <c r="A32" s="4" t="s">
        <v>147</v>
      </c>
      <c r="B32" s="5" t="s">
        <v>148</v>
      </c>
      <c r="C32" s="5" t="s">
        <v>149</v>
      </c>
      <c r="D32" s="5" t="s">
        <v>26</v>
      </c>
      <c r="E32" s="5" t="s">
        <v>150</v>
      </c>
      <c r="F32" s="21" t="s">
        <v>151</v>
      </c>
      <c r="G32" s="5" t="s">
        <v>152</v>
      </c>
    </row>
    <row r="33" spans="1:7" ht="242.25" x14ac:dyDescent="0.25">
      <c r="A33" s="4" t="s">
        <v>153</v>
      </c>
      <c r="B33" s="5" t="s">
        <v>148</v>
      </c>
      <c r="C33" s="5" t="s">
        <v>149</v>
      </c>
      <c r="D33" s="5" t="s">
        <v>26</v>
      </c>
      <c r="E33" s="5" t="s">
        <v>154</v>
      </c>
      <c r="F33" s="21" t="s">
        <v>155</v>
      </c>
      <c r="G33" s="5" t="s">
        <v>156</v>
      </c>
    </row>
    <row r="34" spans="1:7" ht="242.25" x14ac:dyDescent="0.25">
      <c r="A34" s="4" t="s">
        <v>157</v>
      </c>
      <c r="B34" s="5" t="s">
        <v>148</v>
      </c>
      <c r="C34" s="5" t="s">
        <v>149</v>
      </c>
      <c r="D34" s="5" t="s">
        <v>26</v>
      </c>
      <c r="E34" s="5" t="s">
        <v>158</v>
      </c>
      <c r="F34" s="22" t="s">
        <v>159</v>
      </c>
      <c r="G34" s="5" t="s">
        <v>160</v>
      </c>
    </row>
    <row r="35" spans="1:7" ht="242.25" x14ac:dyDescent="0.25">
      <c r="A35" s="4" t="s">
        <v>161</v>
      </c>
      <c r="B35" s="5" t="s">
        <v>148</v>
      </c>
      <c r="C35" s="5" t="s">
        <v>149</v>
      </c>
      <c r="D35" s="5" t="s">
        <v>26</v>
      </c>
      <c r="E35" s="5" t="s">
        <v>162</v>
      </c>
      <c r="F35" s="22" t="s">
        <v>163</v>
      </c>
      <c r="G35" s="5" t="s">
        <v>164</v>
      </c>
    </row>
    <row r="36" spans="1:7" ht="242.25" x14ac:dyDescent="0.25">
      <c r="A36" s="4" t="s">
        <v>165</v>
      </c>
      <c r="B36" s="5" t="s">
        <v>148</v>
      </c>
      <c r="C36" s="5" t="s">
        <v>149</v>
      </c>
      <c r="D36" s="5" t="s">
        <v>26</v>
      </c>
      <c r="E36" s="5" t="s">
        <v>166</v>
      </c>
      <c r="F36" s="22" t="s">
        <v>167</v>
      </c>
      <c r="G36" s="5" t="s">
        <v>168</v>
      </c>
    </row>
    <row r="37" spans="1:7" ht="242.25" x14ac:dyDescent="0.25">
      <c r="A37" s="4" t="s">
        <v>169</v>
      </c>
      <c r="B37" s="5" t="s">
        <v>148</v>
      </c>
      <c r="C37" s="5" t="s">
        <v>149</v>
      </c>
      <c r="D37" s="5" t="s">
        <v>47</v>
      </c>
      <c r="E37" s="5" t="s">
        <v>170</v>
      </c>
      <c r="F37" s="22" t="s">
        <v>171</v>
      </c>
      <c r="G37" s="5" t="s">
        <v>172</v>
      </c>
    </row>
    <row r="38" spans="1:7" ht="242.25" x14ac:dyDescent="0.25">
      <c r="A38" s="4" t="s">
        <v>173</v>
      </c>
      <c r="B38" s="5" t="s">
        <v>148</v>
      </c>
      <c r="C38" s="5" t="s">
        <v>149</v>
      </c>
      <c r="D38" s="5" t="s">
        <v>47</v>
      </c>
      <c r="E38" s="5" t="s">
        <v>174</v>
      </c>
      <c r="F38" s="22" t="s">
        <v>175</v>
      </c>
      <c r="G38" s="5" t="s">
        <v>176</v>
      </c>
    </row>
    <row r="39" spans="1:7" ht="242.25" x14ac:dyDescent="0.25">
      <c r="A39" s="4" t="s">
        <v>177</v>
      </c>
      <c r="B39" s="5" t="s">
        <v>148</v>
      </c>
      <c r="C39" s="5" t="s">
        <v>149</v>
      </c>
      <c r="D39" s="5" t="s">
        <v>47</v>
      </c>
      <c r="E39" s="5" t="s">
        <v>178</v>
      </c>
      <c r="F39" s="22" t="s">
        <v>179</v>
      </c>
      <c r="G39" s="5" t="s">
        <v>180</v>
      </c>
    </row>
    <row r="40" spans="1:7" ht="242.25" x14ac:dyDescent="0.25">
      <c r="A40" s="4" t="s">
        <v>181</v>
      </c>
      <c r="B40" s="5" t="s">
        <v>148</v>
      </c>
      <c r="C40" s="5" t="s">
        <v>149</v>
      </c>
      <c r="D40" s="5" t="s">
        <v>47</v>
      </c>
      <c r="E40" s="5" t="s">
        <v>182</v>
      </c>
      <c r="F40" s="22" t="s">
        <v>183</v>
      </c>
      <c r="G40" s="5" t="s">
        <v>184</v>
      </c>
    </row>
    <row r="41" spans="1:7" ht="242.25" x14ac:dyDescent="0.25">
      <c r="A41" s="4" t="s">
        <v>185</v>
      </c>
      <c r="B41" s="5" t="s">
        <v>148</v>
      </c>
      <c r="C41" s="5" t="s">
        <v>149</v>
      </c>
      <c r="D41" s="5" t="s">
        <v>47</v>
      </c>
      <c r="E41" s="5" t="s">
        <v>186</v>
      </c>
      <c r="F41" s="22" t="s">
        <v>187</v>
      </c>
      <c r="G41" s="5" t="s">
        <v>188</v>
      </c>
    </row>
    <row r="42" spans="1:7" ht="242.25" x14ac:dyDescent="0.25">
      <c r="A42" s="4" t="s">
        <v>189</v>
      </c>
      <c r="B42" s="5" t="s">
        <v>148</v>
      </c>
      <c r="C42" s="5" t="s">
        <v>149</v>
      </c>
      <c r="D42" s="5" t="s">
        <v>68</v>
      </c>
      <c r="E42" s="5" t="s">
        <v>190</v>
      </c>
      <c r="F42" s="22" t="s">
        <v>191</v>
      </c>
      <c r="G42" s="5" t="s">
        <v>192</v>
      </c>
    </row>
    <row r="43" spans="1:7" ht="242.25" x14ac:dyDescent="0.25">
      <c r="A43" s="4" t="s">
        <v>193</v>
      </c>
      <c r="B43" s="5" t="s">
        <v>148</v>
      </c>
      <c r="C43" s="5" t="s">
        <v>149</v>
      </c>
      <c r="D43" s="5" t="s">
        <v>68</v>
      </c>
      <c r="E43" s="5" t="s">
        <v>194</v>
      </c>
      <c r="F43" s="22" t="s">
        <v>195</v>
      </c>
      <c r="G43" s="5" t="s">
        <v>196</v>
      </c>
    </row>
    <row r="44" spans="1:7" ht="242.25" x14ac:dyDescent="0.25">
      <c r="A44" s="4" t="s">
        <v>197</v>
      </c>
      <c r="B44" s="5" t="s">
        <v>148</v>
      </c>
      <c r="C44" s="5" t="s">
        <v>149</v>
      </c>
      <c r="D44" s="5" t="s">
        <v>68</v>
      </c>
      <c r="E44" s="5" t="s">
        <v>198</v>
      </c>
      <c r="F44" s="22" t="s">
        <v>199</v>
      </c>
      <c r="G44" s="5" t="s">
        <v>200</v>
      </c>
    </row>
    <row r="45" spans="1:7" ht="242.25" x14ac:dyDescent="0.25">
      <c r="A45" s="4" t="s">
        <v>201</v>
      </c>
      <c r="B45" s="5" t="s">
        <v>148</v>
      </c>
      <c r="C45" s="5" t="s">
        <v>149</v>
      </c>
      <c r="D45" s="5" t="s">
        <v>68</v>
      </c>
      <c r="E45" s="5" t="s">
        <v>202</v>
      </c>
      <c r="F45" s="22" t="s">
        <v>203</v>
      </c>
      <c r="G45" s="5" t="s">
        <v>204</v>
      </c>
    </row>
    <row r="46" spans="1:7" ht="242.25" x14ac:dyDescent="0.25">
      <c r="A46" s="4" t="s">
        <v>205</v>
      </c>
      <c r="B46" s="5" t="s">
        <v>148</v>
      </c>
      <c r="C46" s="5" t="s">
        <v>149</v>
      </c>
      <c r="D46" s="5" t="s">
        <v>68</v>
      </c>
      <c r="E46" s="5" t="s">
        <v>206</v>
      </c>
      <c r="F46" s="22" t="s">
        <v>175</v>
      </c>
      <c r="G46" s="5" t="s">
        <v>207</v>
      </c>
    </row>
    <row r="47" spans="1:7" x14ac:dyDescent="0.25">
      <c r="A47" s="4" t="s">
        <v>208</v>
      </c>
      <c r="B47" s="5"/>
      <c r="C47" s="5"/>
      <c r="D47" s="5"/>
      <c r="E47" s="5"/>
      <c r="F47" s="5"/>
      <c r="G47" s="5"/>
    </row>
    <row r="48" spans="1:7" x14ac:dyDescent="0.25">
      <c r="A48" s="4" t="s">
        <v>209</v>
      </c>
      <c r="B48" s="5"/>
      <c r="C48" s="5"/>
      <c r="D48" s="5"/>
      <c r="E48" s="5"/>
      <c r="F48" s="5"/>
      <c r="G48" s="5"/>
    </row>
    <row r="49" spans="1:7" x14ac:dyDescent="0.25">
      <c r="A49" s="4" t="s">
        <v>210</v>
      </c>
      <c r="B49" s="5"/>
      <c r="C49" s="5"/>
      <c r="D49" s="5"/>
      <c r="E49" s="5"/>
      <c r="F49" s="5"/>
      <c r="G49" s="5"/>
    </row>
    <row r="50" spans="1:7" x14ac:dyDescent="0.25">
      <c r="A50" s="4" t="s">
        <v>211</v>
      </c>
      <c r="B50" s="5"/>
      <c r="C50" s="5"/>
      <c r="D50" s="5"/>
      <c r="E50" s="5"/>
      <c r="F50" s="5"/>
      <c r="G50" s="5"/>
    </row>
    <row r="51" spans="1:7" x14ac:dyDescent="0.25">
      <c r="A51" s="4" t="s">
        <v>212</v>
      </c>
      <c r="B51" s="5"/>
      <c r="C51" s="5"/>
      <c r="D51" s="5"/>
      <c r="E51" s="5"/>
      <c r="F51" s="5"/>
      <c r="G51" s="5"/>
    </row>
    <row r="52" spans="1:7" x14ac:dyDescent="0.25">
      <c r="A52" s="4" t="s">
        <v>213</v>
      </c>
      <c r="B52" s="5"/>
      <c r="C52" s="5"/>
      <c r="D52" s="5"/>
      <c r="E52" s="5"/>
      <c r="F52" s="5"/>
      <c r="G52" s="5"/>
    </row>
    <row r="53" spans="1:7" x14ac:dyDescent="0.25">
      <c r="A53" s="4" t="s">
        <v>214</v>
      </c>
      <c r="B53" s="5"/>
      <c r="C53" s="5"/>
      <c r="D53" s="5"/>
      <c r="E53" s="5"/>
      <c r="F53" s="5"/>
      <c r="G53" s="5"/>
    </row>
    <row r="54" spans="1:7" x14ac:dyDescent="0.25">
      <c r="A54" s="4" t="s">
        <v>215</v>
      </c>
      <c r="B54" s="5"/>
      <c r="C54" s="5"/>
      <c r="D54" s="5"/>
      <c r="E54" s="5"/>
      <c r="F54" s="5"/>
      <c r="G54" s="5"/>
    </row>
    <row r="55" spans="1:7" x14ac:dyDescent="0.25">
      <c r="A55" s="4" t="s">
        <v>216</v>
      </c>
      <c r="B55" s="5"/>
      <c r="C55" s="5"/>
      <c r="D55" s="5"/>
      <c r="E55" s="5"/>
      <c r="F55" s="5"/>
      <c r="G55" s="5"/>
    </row>
    <row r="56" spans="1:7" x14ac:dyDescent="0.25">
      <c r="A56" s="4" t="s">
        <v>217</v>
      </c>
      <c r="B56" s="5"/>
      <c r="C56" s="5"/>
      <c r="D56" s="5"/>
      <c r="E56" s="5"/>
      <c r="F56" s="5"/>
      <c r="G56" s="5"/>
    </row>
    <row r="57" spans="1:7" x14ac:dyDescent="0.25">
      <c r="A57" s="4" t="s">
        <v>218</v>
      </c>
      <c r="B57" s="5"/>
      <c r="C57" s="5"/>
      <c r="D57" s="5"/>
      <c r="E57" s="5"/>
      <c r="F57" s="5"/>
      <c r="G57" s="5"/>
    </row>
    <row r="58" spans="1:7" x14ac:dyDescent="0.25">
      <c r="A58" s="4" t="s">
        <v>219</v>
      </c>
      <c r="B58" s="5"/>
      <c r="C58" s="5"/>
      <c r="D58" s="5"/>
      <c r="E58" s="5"/>
      <c r="F58" s="5"/>
      <c r="G58" s="5"/>
    </row>
    <row r="59" spans="1:7" x14ac:dyDescent="0.25">
      <c r="A59" s="4" t="s">
        <v>220</v>
      </c>
      <c r="B59" s="5"/>
      <c r="C59" s="5"/>
      <c r="D59" s="5"/>
      <c r="E59" s="5"/>
      <c r="F59" s="5"/>
      <c r="G59" s="5"/>
    </row>
    <row r="60" spans="1:7" x14ac:dyDescent="0.25">
      <c r="A60" s="4" t="s">
        <v>221</v>
      </c>
      <c r="B60" s="5"/>
      <c r="C60" s="5"/>
      <c r="D60" s="5"/>
      <c r="E60" s="5"/>
      <c r="F60" s="5"/>
      <c r="G60" s="5"/>
    </row>
    <row r="61" spans="1:7" x14ac:dyDescent="0.25">
      <c r="A61" s="4" t="s">
        <v>222</v>
      </c>
      <c r="B61" s="5"/>
      <c r="C61" s="5"/>
      <c r="D61" s="5"/>
      <c r="E61" s="5"/>
      <c r="F61" s="5"/>
      <c r="G61" s="5"/>
    </row>
    <row r="62" spans="1:7" x14ac:dyDescent="0.25">
      <c r="A62" s="4" t="s">
        <v>223</v>
      </c>
      <c r="B62" s="5"/>
      <c r="C62" s="5"/>
      <c r="D62" s="5"/>
      <c r="E62" s="5"/>
      <c r="F62" s="5"/>
      <c r="G62" s="5"/>
    </row>
    <row r="63" spans="1:7" x14ac:dyDescent="0.25">
      <c r="A63" s="4" t="s">
        <v>224</v>
      </c>
      <c r="B63" s="5"/>
      <c r="C63" s="5"/>
      <c r="D63" s="5"/>
      <c r="E63" s="5"/>
      <c r="F63" s="5"/>
      <c r="G63" s="5"/>
    </row>
    <row r="64" spans="1:7" x14ac:dyDescent="0.25">
      <c r="A64" s="4" t="s">
        <v>225</v>
      </c>
      <c r="B64" s="5"/>
      <c r="C64" s="5"/>
      <c r="D64" s="5"/>
      <c r="E64" s="5"/>
      <c r="F64" s="5"/>
      <c r="G64" s="5"/>
    </row>
    <row r="65" spans="1:7" x14ac:dyDescent="0.25">
      <c r="A65" s="4" t="s">
        <v>226</v>
      </c>
      <c r="B65" s="5"/>
      <c r="C65" s="5"/>
      <c r="D65" s="5"/>
      <c r="E65" s="5"/>
      <c r="F65" s="5"/>
      <c r="G65" s="5"/>
    </row>
    <row r="66" spans="1:7" x14ac:dyDescent="0.25">
      <c r="A66" s="4" t="s">
        <v>227</v>
      </c>
      <c r="B66" s="5"/>
      <c r="C66" s="5"/>
      <c r="D66" s="5"/>
      <c r="E66" s="5"/>
      <c r="F66" s="5"/>
      <c r="G66" s="5"/>
    </row>
    <row r="67" spans="1:7" x14ac:dyDescent="0.25">
      <c r="A67" s="4" t="s">
        <v>228</v>
      </c>
      <c r="B67" s="5"/>
      <c r="C67" s="5"/>
      <c r="D67" s="5"/>
      <c r="E67" s="5"/>
      <c r="F67" s="5"/>
      <c r="G67" s="5"/>
    </row>
    <row r="68" spans="1:7" x14ac:dyDescent="0.25">
      <c r="A68" s="4" t="s">
        <v>229</v>
      </c>
      <c r="B68" s="5"/>
      <c r="C68" s="5"/>
      <c r="D68" s="5"/>
      <c r="E68" s="5"/>
      <c r="F68" s="5"/>
      <c r="G68" s="5"/>
    </row>
    <row r="69" spans="1:7" x14ac:dyDescent="0.25">
      <c r="A69" s="4" t="s">
        <v>230</v>
      </c>
      <c r="B69" s="5"/>
      <c r="C69" s="5"/>
      <c r="D69" s="5"/>
      <c r="E69" s="5"/>
      <c r="F69" s="5"/>
      <c r="G69" s="5"/>
    </row>
    <row r="70" spans="1:7" x14ac:dyDescent="0.25">
      <c r="A70" s="4" t="s">
        <v>231</v>
      </c>
      <c r="B70" s="5"/>
      <c r="C70" s="5"/>
      <c r="D70" s="5"/>
      <c r="E70" s="5"/>
      <c r="F70" s="5"/>
      <c r="G70" s="5"/>
    </row>
    <row r="71" spans="1:7" x14ac:dyDescent="0.25">
      <c r="A71" s="4" t="s">
        <v>232</v>
      </c>
      <c r="B71" s="5"/>
      <c r="C71" s="5"/>
      <c r="D71" s="5"/>
      <c r="E71" s="5"/>
      <c r="F71" s="5"/>
      <c r="G71" s="5"/>
    </row>
    <row r="72" spans="1:7" x14ac:dyDescent="0.25">
      <c r="A72" s="4" t="s">
        <v>233</v>
      </c>
      <c r="B72" s="5"/>
      <c r="C72" s="5"/>
      <c r="D72" s="5"/>
      <c r="E72" s="5"/>
      <c r="F72" s="5"/>
      <c r="G72" s="5"/>
    </row>
    <row r="73" spans="1:7" x14ac:dyDescent="0.25">
      <c r="A73" s="4" t="s">
        <v>234</v>
      </c>
      <c r="B73" s="5"/>
      <c r="C73" s="5"/>
      <c r="D73" s="5"/>
      <c r="E73" s="5"/>
      <c r="F73" s="5"/>
      <c r="G73" s="5"/>
    </row>
  </sheetData>
  <dataValidations count="2">
    <dataValidation type="list" allowBlank="1" sqref="D2:D73" xr:uid="{00000000-0002-0000-0100-000000000000}">
      <formula1>"A,B,C"</formula1>
      <formula2>0</formula2>
    </dataValidation>
    <dataValidation type="list" allowBlank="1" sqref="B2:B73" xr:uid="{00000000-0002-0000-0100-000001000000}">
      <formula1>"Isabella,Eduar,Anderson"</formula1>
      <formula2>0</formula2>
    </dataValidation>
  </dataValidations>
  <hyperlinks>
    <hyperlink ref="F2" r:id="rId1" xr:uid="{C4BECBB5-D263-444B-AF34-21146EE53C80}"/>
    <hyperlink ref="F3" r:id="rId2" xr:uid="{81EBB965-E0A6-469E-B8FD-1BB468B3053D}"/>
    <hyperlink ref="F4" r:id="rId3" xr:uid="{6B817963-B953-4267-AC94-F0D2F00C8CBF}"/>
    <hyperlink ref="F5" r:id="rId4" xr:uid="{E6931A3A-FAC8-427A-8B8D-5D17E61720F5}"/>
    <hyperlink ref="F6" r:id="rId5" xr:uid="{8CF606F1-DB18-449D-A527-858A7C27A1C0}"/>
    <hyperlink ref="F12" r:id="rId6" xr:uid="{76CB2B55-097B-46A6-8C01-EAF5C7624CAF}"/>
    <hyperlink ref="F13" r:id="rId7" xr:uid="{EB16D638-2F01-4BA7-9DE3-A0EE10FA8C74}"/>
    <hyperlink ref="F14" r:id="rId8" xr:uid="{DEDBEBF2-4144-4FC8-BE1B-8031A5CEF9FF}"/>
    <hyperlink ref="F15" r:id="rId9" xr:uid="{86E6A690-FD97-4179-BF29-627F5AFA4C4D}"/>
    <hyperlink ref="F17" r:id="rId10" xr:uid="{48C1221D-54FC-4BF6-AA49-47A6076C19F8}"/>
    <hyperlink ref="F21" r:id="rId11" xr:uid="{30BAC622-4AA5-49B3-8D71-AFA62AD9A505}"/>
    <hyperlink ref="F19" r:id="rId12" xr:uid="{DB0D72EC-8F34-442F-B535-9CD63CFE014F}"/>
    <hyperlink ref="F27" r:id="rId13" xr:uid="{50274683-A0FD-429E-BE0C-2394264B13E6}"/>
    <hyperlink ref="F28" r:id="rId14" xr:uid="{D6DE7D41-A5DF-410A-8751-CF862E9D363B}"/>
    <hyperlink ref="F29" r:id="rId15" xr:uid="{3115CD47-6CF1-4827-87D9-972183FCC44D}"/>
    <hyperlink ref="F30" r:id="rId16" xr:uid="{56876EEE-9619-4BE8-873F-4D596BEF2034}"/>
    <hyperlink ref="F31" r:id="rId17" xr:uid="{DC8CE0AD-FA34-4B37-ADEA-70A0CF7B6088}"/>
    <hyperlink ref="F16" r:id="rId18" xr:uid="{CBC0F64E-D9E5-4A31-8C8C-9F1042679D3F}"/>
    <hyperlink ref="F32" r:id="rId19" xr:uid="{88006102-2BBE-4F12-B235-EEE4B54669B9}"/>
    <hyperlink ref="F33" r:id="rId20" xr:uid="{9175B693-F7EA-43E2-8742-28E0497ABD03}"/>
    <hyperlink ref="F34" r:id="rId21" xr:uid="{D943D89B-AE63-4B8B-9DE6-4BDC18FB79C7}"/>
    <hyperlink ref="F35" r:id="rId22" xr:uid="{AACD0281-CD06-4E87-B6A1-0D4E925C4BFA}"/>
    <hyperlink ref="F36" r:id="rId23" xr:uid="{C3950C4A-492E-4C0F-8879-85DC129DE98B}"/>
    <hyperlink ref="F42" r:id="rId24" xr:uid="{F62E76A0-3982-4237-835F-9099F46B09C7}"/>
    <hyperlink ref="F43" r:id="rId25" xr:uid="{5D2DB833-F8CF-43E0-9EBC-4FFA55029F9E}"/>
    <hyperlink ref="F44" r:id="rId26" xr:uid="{7DA9AE8F-FB68-4A1B-973A-93059ADD93CA}"/>
    <hyperlink ref="F45" r:id="rId27" xr:uid="{AFCBE685-6DCE-45BF-A737-69CFC1C8460D}"/>
    <hyperlink ref="F46" r:id="rId28" xr:uid="{194E190A-78DA-45BD-A23C-719E171D9A99}"/>
    <hyperlink ref="F37" r:id="rId29" xr:uid="{6B9ED46D-69BB-4A5C-8D6C-E323AB332561}"/>
    <hyperlink ref="F38" r:id="rId30" xr:uid="{ABAD915B-50EE-4435-8E1C-435D7E362D73}"/>
    <hyperlink ref="F39" r:id="rId31" xr:uid="{C18E3753-BAD1-4B2E-B71F-EF26B367B2E5}"/>
    <hyperlink ref="F40" r:id="rId32" xr:uid="{EFC3FFB2-48A4-45FB-B5AA-92DF99B29680}"/>
    <hyperlink ref="F41" r:id="rId33" xr:uid="{D90E2016-192E-456A-BC65-EAE35E59F402}"/>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
  <sheetViews>
    <sheetView zoomScaleNormal="100" workbookViewId="0">
      <pane ySplit="1" topLeftCell="A41" activePane="bottomLeft" state="frozen"/>
      <selection pane="bottomLeft"/>
    </sheetView>
  </sheetViews>
  <sheetFormatPr baseColWidth="10" defaultColWidth="8.7109375" defaultRowHeight="15" x14ac:dyDescent="0.25"/>
  <cols>
    <col min="1" max="1" width="7" customWidth="1"/>
    <col min="2" max="2" width="16" customWidth="1"/>
    <col min="3" max="3" width="50" customWidth="1"/>
    <col min="4" max="4" width="45" customWidth="1"/>
    <col min="5" max="5" width="24" customWidth="1"/>
    <col min="6" max="6" width="40" customWidth="1"/>
    <col min="7" max="7" width="36" customWidth="1"/>
  </cols>
  <sheetData>
    <row r="1" spans="1:7" ht="30" x14ac:dyDescent="0.25">
      <c r="A1" s="3" t="s">
        <v>16</v>
      </c>
      <c r="B1" s="3" t="s">
        <v>19</v>
      </c>
      <c r="C1" s="3" t="s">
        <v>235</v>
      </c>
      <c r="D1" s="3" t="s">
        <v>236</v>
      </c>
      <c r="E1" s="3" t="s">
        <v>237</v>
      </c>
      <c r="F1" s="3" t="s">
        <v>238</v>
      </c>
      <c r="G1" s="3" t="s">
        <v>239</v>
      </c>
    </row>
    <row r="2" spans="1:7" ht="142.5" customHeight="1" x14ac:dyDescent="0.25">
      <c r="A2" s="6" t="str">
        <f>Referencias!A2</f>
        <v>R01</v>
      </c>
      <c r="B2" s="6" t="str">
        <f>IF(Referencias!D2="","",Referencias!D2)</f>
        <v>A</v>
      </c>
      <c r="C2" s="6" t="str">
        <f>IF(Referencias!E2="","",Referencias!E2)</f>
        <v>Worthington, A. C., &amp; Lee, B. L. (2008). Efficiency, technology and productivity change in Australian universities, 1998–2003.</v>
      </c>
      <c r="D2" s="6" t="str">
        <f>IF(Referencias!G2="","",Referencias!G2)</f>
        <v>Worthington y Lee (2008) aplican el índice de Malmquist a 35 universidades australianas durante el periodo 1998-2003 para medir el crecimiento de la productividad y descomponerlo en cambios de eficiencia técnica y progreso tecnológico. El estudio encuentra un crecimiento promedio anual de la productividad del 3,3%, atribuido principalmente al progreso tecnológico.</v>
      </c>
      <c r="E2" s="5" t="s">
        <v>240</v>
      </c>
      <c r="F2" s="5" t="s">
        <v>241</v>
      </c>
      <c r="G2" s="5" t="s">
        <v>242</v>
      </c>
    </row>
    <row r="3" spans="1:7" ht="132" customHeight="1" x14ac:dyDescent="0.25">
      <c r="A3" s="6" t="str">
        <f>Referencias!A3</f>
        <v>R02</v>
      </c>
      <c r="B3" s="6" t="str">
        <f>IF(Referencias!D3="","",Referencias!D3)</f>
        <v>A</v>
      </c>
      <c r="C3" s="6" t="str">
        <f>IF(Referencias!E3="","",Referencias!E3)</f>
        <v>Flegg, A. T., Allen, D. O., Field, K., &amp; Thurlow, T. W. (2004). Measuring the efficiency of British universities: A multi-period data envelopment analysis</v>
      </c>
      <c r="D3" s="6" t="str">
        <f>IF(Referencias!G3="","",Referencias!G3)</f>
        <v>Utiliza DEA en varios periodos para estudiar la evolución de la eficiencia universitaria y constituye un antecedente metodológico importante para analizar productividad y eficiencia a lo largo del tiempo.</v>
      </c>
      <c r="E3" s="5" t="s">
        <v>240</v>
      </c>
      <c r="F3" s="5" t="s">
        <v>243</v>
      </c>
      <c r="G3" s="5" t="s">
        <v>244</v>
      </c>
    </row>
    <row r="4" spans="1:7" ht="125.25" customHeight="1" x14ac:dyDescent="0.25">
      <c r="A4" s="6" t="str">
        <f>Referencias!A4</f>
        <v>R03</v>
      </c>
      <c r="B4" s="6" t="str">
        <f>IF(Referencias!D4="","",Referencias!D4)</f>
        <v>A</v>
      </c>
      <c r="C4" s="6" t="str">
        <f>IF(Referencias!E4="","",Referencias!E4)</f>
        <v>Johnes, J. (2006). Data envelopment analysis and its application to the measurement of efficiency in higher education.</v>
      </c>
      <c r="D4" s="6" t="str">
        <f>IF(Referencias!G4="","",Referencias!G4)</f>
        <v>Presenta y discute la aplicación de DEA en educación superior, explicando cómo las universidades pueden analizarse como unidades que transforman múltiples insumos en productos; es una base metodológica que posteriormente calcula índices de Malmquist.</v>
      </c>
      <c r="E4" s="5" t="s">
        <v>245</v>
      </c>
      <c r="F4" s="5" t="s">
        <v>246</v>
      </c>
      <c r="G4" s="5"/>
    </row>
    <row r="5" spans="1:7" ht="142.5" x14ac:dyDescent="0.25">
      <c r="A5" s="6" t="str">
        <f>Referencias!A5</f>
        <v>R04</v>
      </c>
      <c r="B5" s="6" t="str">
        <f>IF(Referencias!D5="","",Referencias!D5)</f>
        <v>A</v>
      </c>
      <c r="C5" s="6" t="str">
        <f>IF(Referencias!E5="","",Referencias!E5)</f>
        <v>Kao, C., &amp; Hung, H.-T. (2008). Efficiency analysis of university departments: An empirical study.</v>
      </c>
      <c r="D5" s="6" t="str">
        <f>IF(Referencias!G5="","",Referencias!G5)</f>
        <v>Muestra cómo DEA puede utilizarse para comparar unidades universitarias con múltiples insumos y productos, lo que resulta relevante cuando el índice de Malmquist se construye sobre fronteras de producción estimadas mediante DEA.</v>
      </c>
      <c r="E5" s="5" t="s">
        <v>245</v>
      </c>
      <c r="F5" s="5" t="s">
        <v>247</v>
      </c>
      <c r="G5" s="5" t="s">
        <v>244</v>
      </c>
    </row>
    <row r="6" spans="1:7" ht="99.75" x14ac:dyDescent="0.25">
      <c r="A6" s="6" t="str">
        <f>Referencias!A6</f>
        <v>R05</v>
      </c>
      <c r="B6" s="6" t="str">
        <f>IF(Referencias!D6="","",Referencias!D6)</f>
        <v>A</v>
      </c>
      <c r="C6" s="6" t="str">
        <f>IF(Referencias!E6="","",Referencias!E6)</f>
        <v>Abbott, M., &amp; Doucouliagos, C. (2003). The efficiency of Australian universities: A data envelopment analysis.</v>
      </c>
      <c r="D6" s="6" t="str">
        <f>IF(Referencias!G6="","",Referencias!G6)</f>
        <v>Analiza la eficiencia relativa de universidades australianas mediante DEA y demuestra la utilidad de este enfoque para estudiar diferencias de productividad/eficiencia entre instituciones de educación superior.</v>
      </c>
      <c r="E6" s="5" t="s">
        <v>240</v>
      </c>
      <c r="F6" s="5" t="s">
        <v>248</v>
      </c>
      <c r="G6" s="5"/>
    </row>
    <row r="7" spans="1:7" ht="71.25" x14ac:dyDescent="0.25">
      <c r="A7" s="6" t="str">
        <f>Referencias!A7</f>
        <v>R06</v>
      </c>
      <c r="B7" s="6" t="str">
        <f>IF(Referencias!D7="","",Referencias!D7)</f>
        <v>B</v>
      </c>
      <c r="C7" s="6" t="str">
        <f>IF(Referencias!E7="","",Referencias!E7)</f>
        <v xml:space="preserve">	Johnes, J.(2008). Efficiency and Productivity Change in the English Higher Education Sector from 1996/97 to 2004/5</v>
      </c>
      <c r="D7" s="6" t="str">
        <f>IF(Referencias!G7="","",Referencias!G7)</f>
        <v xml:space="preserve">Estima índices de Malmquist para 112 instituciones inglesas y encuentra un aumento medio anual de productividad de 1%, explicado por +6% de cambio tecnológico y −5% de eficiencia técnica </v>
      </c>
      <c r="E7" s="5" t="s">
        <v>240</v>
      </c>
      <c r="F7" s="5" t="s">
        <v>249</v>
      </c>
      <c r="G7" s="5" t="s">
        <v>250</v>
      </c>
    </row>
    <row r="8" spans="1:7" ht="71.25" x14ac:dyDescent="0.25">
      <c r="A8" s="6" t="str">
        <f>Referencias!A8</f>
        <v>R07</v>
      </c>
      <c r="B8" s="6" t="str">
        <f>IF(Referencias!D8="","",Referencias!D8)</f>
        <v>B</v>
      </c>
      <c r="C8" s="6" t="str">
        <f>IF(Referencias!E8="","",Referencias!E8)</f>
        <v>Parteka, A.; Wolszczak-Derlacz, J.(2012). Dynamics of productivity in higher education: cross-european evidence based on bootstrapped Malmquist indices</v>
      </c>
      <c r="D8" s="6" t="str">
        <f>IF(Referencias!G8="","",Referencias!G8)</f>
        <v xml:space="preserve">Analiza 266 instituciones públicas en 7 países europeos y muestra un crecimiento medio anual de productividad de 4%, además de evaluar la significancia estadística de los cambios con bootstrap </v>
      </c>
      <c r="E8" s="5" t="s">
        <v>240</v>
      </c>
      <c r="F8" s="5" t="s">
        <v>251</v>
      </c>
      <c r="G8" s="5"/>
    </row>
    <row r="9" spans="1:7" ht="99.75" x14ac:dyDescent="0.25">
      <c r="A9" s="6" t="str">
        <f>Referencias!A9</f>
        <v>R08</v>
      </c>
      <c r="B9" s="6" t="str">
        <f>IF(Referencias!D9="","",Referencias!D9)</f>
        <v>B</v>
      </c>
      <c r="C9" s="6" t="str">
        <f>IF(Referencias!E9="","",Referencias!E9)</f>
        <v>Worthington, A.; Lee, B. L.(Worthington, A.; Lee, B. L.(2008).Efficiency, technology and productivity change in Australian universities, 1998–2003</v>
      </c>
      <c r="D9" s="6" t="str">
        <f>IF(Referencias!G9="","",Referencias!G9)</f>
        <v xml:space="preserve">Para 35 universidades australianas, reporta un crecimiento anual medio de productividad de 3.3%, atribuido principalmente al progreso tecnológico; además separa productividad de docencia e investigación </v>
      </c>
      <c r="E9" s="5" t="s">
        <v>240</v>
      </c>
      <c r="F9" s="5" t="s">
        <v>252</v>
      </c>
      <c r="G9" s="5"/>
    </row>
    <row r="10" spans="1:7" ht="71.25" x14ac:dyDescent="0.25">
      <c r="A10" s="6" t="str">
        <f>Referencias!A10</f>
        <v>R09</v>
      </c>
      <c r="B10" s="6" t="str">
        <f>IF(Referencias!D10="","",Referencias!D10)</f>
        <v>B</v>
      </c>
      <c r="C10" s="6" t="str">
        <f>IF(Referencias!E10="","",Referencias!E10)</f>
        <v>García-Aracil, A.(2013). Understanding productivity changes in public universities: Evidence from Spain</v>
      </c>
      <c r="D10" s="6" t="str">
        <f>IF(Referencias!G10="","",Referencias!G10)</f>
        <v>Estudia universidades españolas entre 1994 y 2008 y encuentra que el crecimiento de productividad se debe más a mejoras de eficiencia que al progreso tecnológico, con un papel menor de la eficiencia de escala.</v>
      </c>
      <c r="E10" s="5" t="s">
        <v>240</v>
      </c>
      <c r="F10" s="5" t="s">
        <v>249</v>
      </c>
      <c r="G10" s="5" t="s">
        <v>250</v>
      </c>
    </row>
    <row r="11" spans="1:7" ht="71.25" x14ac:dyDescent="0.25">
      <c r="A11" s="6" t="str">
        <f>Referencias!A11</f>
        <v>R10</v>
      </c>
      <c r="B11" s="6" t="str">
        <f>IF(Referencias!D11="","",Referencias!D11)</f>
        <v>B</v>
      </c>
      <c r="C11" s="6" t="str">
        <f>IF(Referencias!E11="","",Referencias!E11)</f>
        <v>de la Hoz, E.; García-Yerena, C.; Zuluaga-Ortiz, R.(2026). Academic Productivity Dynamics in Colombian Social Science Programs: A PCA–Malmquist Index Approach (2020–2023)</v>
      </c>
      <c r="D11" s="6" t="str">
        <f>IF(Referencias!G11="","",Referencias!G11)</f>
        <v xml:space="preserve">Aplica PCA–Malmquist a 11,099 observaciones y concluye que 76% de las mejoras de productividad se explican por cambio tecnológico, con fuertes diferencias regionales </v>
      </c>
      <c r="E11" s="5" t="s">
        <v>245</v>
      </c>
      <c r="F11" s="5" t="s">
        <v>253</v>
      </c>
      <c r="G11" s="5"/>
    </row>
    <row r="12" spans="1:7" ht="99.75" x14ac:dyDescent="0.25">
      <c r="A12" s="6" t="str">
        <f>Referencias!A12</f>
        <v>R11</v>
      </c>
      <c r="B12" s="6" t="str">
        <f>IF(Referencias!D12="","",Referencias!D12)</f>
        <v>C</v>
      </c>
      <c r="C12" s="6" t="str">
        <f>IF(Referencias!E12="","",Referencias!E12)</f>
        <v>Francisco Javier Maza Ávila, Juan Carlos Vergara Schmalbach y Raúl Román Romero. (2017).Eficiencia y productividad en la cobertura de las universidades públicas colombianas</v>
      </c>
      <c r="D12" s="6" t="str">
        <f>IF(Referencias!G12="","",Referencias!G12)</f>
        <v>Evalúa la evolución de la productividad en la cobertura de 32 universidades públicas colombianas (2003-2012) mediante el índice de Malmquist, encontrando un crecimiento promedio anual del 9% en la productividad impulsado fundamentalmente por avances tecnológicos</v>
      </c>
      <c r="E12" s="5" t="s">
        <v>240</v>
      </c>
      <c r="F12" s="5" t="s">
        <v>254</v>
      </c>
      <c r="G12" s="5"/>
    </row>
    <row r="13" spans="1:7" ht="99.75" x14ac:dyDescent="0.25">
      <c r="A13" s="6" t="str">
        <f>Referencias!A13</f>
        <v>R12</v>
      </c>
      <c r="B13" s="6" t="str">
        <f>IF(Referencias!D13="","",Referencias!D13)</f>
        <v>C</v>
      </c>
      <c r="C13" s="6" t="str">
        <f>IF(Referencias!E13="","",Referencias!E13)</f>
        <v>Morales-Piñero, Niño-Muñoz, &amp; Lesmes-Cardenas (2022).Gestión Pública o Privada de las Universidades: ¿Cuál es la Opción más Eficiente para una Política Pública en Educación Superior en Colombia?</v>
      </c>
      <c r="D13" s="6" t="str">
        <f>IF(Referencias!G13="","",Referencias!G13)</f>
        <v>Emplea el índice Global Malmquist-Luenberger (GML) con metafronteras DEA para evaluar la productividad y la eficiencia de 122 universidades públicas y privadas colombianas considerando bad outputs como los egresados no vinculados al mercado laboral formal</v>
      </c>
      <c r="E13" s="5" t="s">
        <v>240</v>
      </c>
      <c r="F13" s="5" t="s">
        <v>254</v>
      </c>
      <c r="G13" s="5"/>
    </row>
    <row r="14" spans="1:7" ht="85.5" x14ac:dyDescent="0.25">
      <c r="A14" s="6" t="str">
        <f>Referencias!A14</f>
        <v>R13</v>
      </c>
      <c r="B14" s="6" t="str">
        <f>IF(Referencias!D14="","",Referencias!D14)</f>
        <v>C</v>
      </c>
      <c r="C14" s="6" t="str">
        <f>IF(Referencias!E14="","",Referencias!E14)</f>
        <v>Thanassoulis, Kortelainen, Johnes, &amp; Johnes (2011).Costs and efficiency of higher education institutions in England: A DEA analysis.</v>
      </c>
      <c r="D14" s="6" t="str">
        <f>IF(Referencias!G14="","",Referencias!G14)</f>
        <v>Utiliza el índice de Malmquist combinado con modelos DEA para medir las variaciones en la productividad total de los factores a lo largo del tiempo y analizar las estructuras de costos en las instituciones de educación superior en Inglaterra.</v>
      </c>
      <c r="E14" s="5" t="s">
        <v>240</v>
      </c>
      <c r="F14" s="5" t="s">
        <v>255</v>
      </c>
      <c r="G14" s="5"/>
    </row>
    <row r="15" spans="1:7" ht="85.5" x14ac:dyDescent="0.25">
      <c r="A15" s="6" t="str">
        <f>Referencias!A15</f>
        <v>R14</v>
      </c>
      <c r="B15" s="6" t="str">
        <f>IF(Referencias!D15="","",Referencias!D15)</f>
        <v>C</v>
      </c>
      <c r="C15" s="6" t="str">
        <f>IF(Referencias!E15="","",Referencias!E15)</f>
        <v>Flegg, Allen, Field, &amp; Thurlow (2004).Measuring the efficiency of British universities: A multiperiod data envelopment analysis.</v>
      </c>
      <c r="D15" s="6" t="str">
        <f>IF(Referencias!G15="","",Referencias!G15)</f>
        <v xml:space="preserve"> Mide los cambios en la productividad y la eficiencia técnica de las universidades británicas en múltiples periodos aplicando el índice de Malmquist, evaluando además el impacto de la congestión de insumos en el rendimiento.</v>
      </c>
      <c r="E15" s="5" t="s">
        <v>240</v>
      </c>
      <c r="F15" s="5" t="s">
        <v>256</v>
      </c>
      <c r="G15" s="5"/>
    </row>
    <row r="16" spans="1:7" ht="71.25" x14ac:dyDescent="0.25">
      <c r="A16" s="6" t="str">
        <f>Referencias!A16</f>
        <v>R15</v>
      </c>
      <c r="B16" s="6" t="str">
        <f>IF(Referencias!D16="","",Referencias!D16)</f>
        <v>C</v>
      </c>
      <c r="C16" s="6" t="str">
        <f>IF(Referencias!E16="","",Referencias!E16)</f>
        <v>Galvis-Aponte (2015). LA EFICIENCIA DEL GASTO PÚBLICO
EN EDUCACIÓN EN COLOMBIA</v>
      </c>
      <c r="D16" s="6" t="str">
        <f>IF(Referencias!G16="","",Referencias!G16)</f>
        <v xml:space="preserve"> Evalúa la eficiencia del gasto territorial del Sistema General de Participaciones (SGP) en municipios colombianos (2012), encontrando una eficiencia promedio de 63,4% en cobertura y de 48,8% en calidad educativa.</v>
      </c>
      <c r="E16" s="5" t="s">
        <v>240</v>
      </c>
      <c r="F16" s="5" t="s">
        <v>257</v>
      </c>
      <c r="G16" s="5"/>
    </row>
    <row r="17" spans="1:7" ht="85.5" x14ac:dyDescent="0.25">
      <c r="A17" s="6" t="str">
        <f>Referencias!A17</f>
        <v>R16</v>
      </c>
      <c r="B17" s="6" t="str">
        <f>IF(Referencias!D17="","",Referencias!D17)</f>
        <v>A</v>
      </c>
      <c r="C17" s="6" t="str">
        <f>IF(Referencias!E17="","",Referencias!E17)</f>
        <v>Melo-Becerra, L. A., &amp; Vásquez, D. M. (2019). Eficiencia de las instituciones de educación superior en Colombia: una aproximación mediante análisis envolvente de datos</v>
      </c>
      <c r="D17" s="6" t="str">
        <f>IF(Referencias!G17="","",Referencias!G17)</f>
        <v>Es directamente pertinente para Colombia: utiliza DEA para estudiar diferencias de eficiencia entre instituciones de educación superior y permite sustentar la selección de insumos y productos educativos en un contexto colombiano.</v>
      </c>
      <c r="E17" s="5" t="s">
        <v>258</v>
      </c>
      <c r="F17" s="5" t="s">
        <v>259</v>
      </c>
      <c r="G17" s="5" t="s">
        <v>260</v>
      </c>
    </row>
    <row r="18" spans="1:7" ht="71.25" x14ac:dyDescent="0.25">
      <c r="A18" s="6" t="str">
        <f>Referencias!A18</f>
        <v>R17</v>
      </c>
      <c r="B18" s="6" t="str">
        <f>IF(Referencias!D18="","",Referencias!D18)</f>
        <v>A</v>
      </c>
      <c r="C18" s="6" t="str">
        <f>IF(Referencias!E18="","",Referencias!E18)</f>
        <v>González, L., &amp; Callejas, J. (2011). Análisis envolvente de datos aplicado a la evaluación de la eficiencia de las universidades públicas españolas</v>
      </c>
      <c r="D18" s="6" t="str">
        <f>IF(Referencias!G18="","",Referencias!G18)</f>
        <v>Es útil metodológicamente porque muestra cómo DEA permite comparar universidades mediante una frontera de eficiencia, distinguiendo instituciones eficientes de aquellas con posibilidades de mejora relativa.</v>
      </c>
      <c r="E18" s="5" t="s">
        <v>258</v>
      </c>
      <c r="F18" s="5" t="s">
        <v>261</v>
      </c>
      <c r="G18" s="5"/>
    </row>
    <row r="19" spans="1:7" ht="71.25" x14ac:dyDescent="0.25">
      <c r="A19" s="6" t="str">
        <f>Referencias!A19</f>
        <v>R18</v>
      </c>
      <c r="B19" s="6" t="str">
        <f>IF(Referencias!D19="","",Referencias!D19)</f>
        <v>A</v>
      </c>
      <c r="C19" s="6" t="str">
        <f>IF(Referencias!E19="","",Referencias!E19)</f>
        <v>Johnes, J. (2006). Data envelopment analysis and its application to the measurement of efficiency in higher education</v>
      </c>
      <c r="D19" s="6" t="str">
        <f>IF(Referencias!G19="","",Referencias!G19)</f>
        <v>Es relevante para justificar comparaciones entre instituciones públicas y otros tipos de universidades y para discutir cómo las características institucionales pueden asociarse con diferencias en eficiencia DEA.</v>
      </c>
      <c r="E19" s="5" t="s">
        <v>240</v>
      </c>
      <c r="F19" s="5" t="s">
        <v>262</v>
      </c>
      <c r="G19" s="5"/>
    </row>
    <row r="20" spans="1:7" ht="85.5" x14ac:dyDescent="0.25">
      <c r="A20" s="6" t="str">
        <f>Referencias!A20</f>
        <v>R19</v>
      </c>
      <c r="B20" s="6" t="str">
        <f>IF(Referencias!D20="","",Referencias!D20)</f>
        <v>A</v>
      </c>
      <c r="C20" s="6" t="str">
        <f>IF(Referencias!E20="","",Referencias!E20)</f>
        <v>Agasisti, T., Dal Bianco, A., Griffini, M., &amp; Valenti, R. (2016). The public-private efficiency gap: An empirical analysis of Italian universities</v>
      </c>
      <c r="D20" s="6" t="str">
        <f>IF(Referencias!G20="","",Referencias!G20)</f>
        <v>Es directamente pertinente para Colombia: utiliza DEA para estudiar diferencias de eficiencia entre instituciones de educación superior y permite sustentar la selección de insumos y productos educativos en un contexto colombiano.</v>
      </c>
      <c r="E20" s="5" t="s">
        <v>258</v>
      </c>
      <c r="F20" s="5" t="s">
        <v>263</v>
      </c>
      <c r="G20" s="5"/>
    </row>
    <row r="21" spans="1:7" ht="114" x14ac:dyDescent="0.25">
      <c r="A21" s="6" t="str">
        <f>Referencias!A21</f>
        <v>R20</v>
      </c>
      <c r="B21" s="6" t="str">
        <f>IF(Referencias!D21="","",Referencias!D21)</f>
        <v>A</v>
      </c>
      <c r="C21" s="6" t="str">
        <f>IF(Referencias!E21="","",Referencias!E21)</f>
        <v>Ramanathan, R. (2003). An Introduction to Data Envelopment Analysis: A Tool for Performance Measurement</v>
      </c>
      <c r="D21" s="6" t="str">
        <f>IF(Referencias!G21="","",Referencias!G21)</f>
        <v>Aunque no es específico de universidades latinoamericanas, proporciona la base metodológica para CCR/BCC, orientación input/output, eficiencia técnica y construcción de la frontera DEA, conceptos necesarios para fundamentar el modelo de tu consultoría.</v>
      </c>
      <c r="E21" s="5" t="s">
        <v>245</v>
      </c>
      <c r="F21" s="5" t="s">
        <v>264</v>
      </c>
      <c r="G21" s="5"/>
    </row>
    <row r="22" spans="1:7" ht="128.25" x14ac:dyDescent="0.25">
      <c r="A22" s="6" t="str">
        <f>Referencias!A22</f>
        <v>R21</v>
      </c>
      <c r="B22" s="6" t="str">
        <f>IF(Referencias!D22="","",Referencias!D22)</f>
        <v>B</v>
      </c>
      <c r="C22" s="6" t="str">
        <f>IF(Referencias!E22="","",Referencias!E22)</f>
        <v>Lina P. Navas, Felipe Montes, Sepideh Abolghasem, Ricardo Salas, M. Toloo, R. Zarama (2020) Colombian higher education institutions evaluation</v>
      </c>
      <c r="D22" s="6" t="str">
        <f>IF(Referencias!G22="","",Referencias!G22)</f>
        <v>Propone una extensión de DEA de eficiencia cruzada para evaluar IES colombianas con metas múltiples, mostrando que unas instituciones son más eficientes en docencia o empleabilidad y otras en investigación</v>
      </c>
      <c r="E22" s="5" t="s">
        <v>240</v>
      </c>
      <c r="F22" s="5" t="s">
        <v>265</v>
      </c>
      <c r="G22" s="5" t="s">
        <v>250</v>
      </c>
    </row>
    <row r="23" spans="1:7" ht="85.5" x14ac:dyDescent="0.25">
      <c r="A23" s="6" t="str">
        <f>Referencias!A23</f>
        <v>R22</v>
      </c>
      <c r="B23" s="6" t="str">
        <f>IF(Referencias!D23="","",Referencias!D23)</f>
        <v>B</v>
      </c>
      <c r="C23" s="6" t="str">
        <f>IF(Referencias!E23="","",Referencias!E23)</f>
        <v>Delimiro Visbal-Cadavid, M. Martínez-Gómez, F. Guijarro (2017) Assessing the Efficiency of Public Universities through DEA. A Case Study</v>
      </c>
      <c r="D23" s="6" t="str">
        <f>IF(Referencias!G23="","",Referencias!G23)</f>
        <v xml:space="preserve">	Evalúa 32 universidades públicas colombianas con modelos CCR, BCC y SBM orientados al output, desagregando ineficiencia técnica, de escala y de mezcla, y encuentra a Tolima, Caldas y UNAD entre las de mejor desempeño.</v>
      </c>
      <c r="E23" s="5" t="s">
        <v>240</v>
      </c>
      <c r="F23" s="5" t="s">
        <v>254</v>
      </c>
      <c r="G23" s="5"/>
    </row>
    <row r="24" spans="1:7" ht="85.5" x14ac:dyDescent="0.25">
      <c r="A24" s="6" t="str">
        <f>Referencias!A24</f>
        <v>R23</v>
      </c>
      <c r="B24" s="6" t="str">
        <f>IF(Referencias!D24="","",Referencias!D24)</f>
        <v>B</v>
      </c>
      <c r="C24" s="6" t="str">
        <f>IF(Referencias!E24="","",Referencias!E24)</f>
        <v>Jorge Moreno-Gómez, Jonathan Calleja-Blanco, Gloria Moreno-Gómez (2019) Measuring the efficiency of the Colombian higher education system: a two-stage approach</v>
      </c>
      <c r="D24" s="6" t="str">
        <f>IF(Referencias!G24="","",Referencias!G24)</f>
        <v>Aplica un DEA en dos etapas a 78 universidades colombianas entre 2015 y 2017 y encuentra que las públicas superan a las privadas en eficiencia docente e investigativa, mientras la proporción de profesores con PhD mejora todas las dimensiones de eficiencia</v>
      </c>
      <c r="E24" s="5" t="s">
        <v>240</v>
      </c>
      <c r="F24" s="5" t="s">
        <v>266</v>
      </c>
      <c r="G24" s="5" t="s">
        <v>250</v>
      </c>
    </row>
    <row r="25" spans="1:7" ht="71.25" x14ac:dyDescent="0.25">
      <c r="A25" s="6" t="str">
        <f>Referencias!A25</f>
        <v>R24</v>
      </c>
      <c r="B25" s="6" t="str">
        <f>IF(Referencias!D25="","",Referencias!D25)</f>
        <v>B</v>
      </c>
      <c r="C25" s="6" t="str">
        <f>IF(Referencias!E25="","",Referencias!E25)</f>
        <v>M. Sagarra, T. Agasisti (2017) Exploring the efficiency of Mexican universities: Integrating Data Envelopment Analysis and Multidimensional Scaling</v>
      </c>
      <c r="D25" s="6" t="str">
        <f>IF(Referencias!G25="","",Referencias!G25)</f>
        <v>Analiza 55 universidades mexicanas entre 2007 y 2012 con 21 modelos DEA y escalamiento multidimensional, para distinguir si los cambios de eficiencia provienen de docencia, investigación o ambas dimensiones</v>
      </c>
      <c r="E25" s="5" t="s">
        <v>240</v>
      </c>
      <c r="F25" s="5" t="s">
        <v>266</v>
      </c>
      <c r="G25" s="5" t="s">
        <v>250</v>
      </c>
    </row>
    <row r="26" spans="1:7" ht="85.5" x14ac:dyDescent="0.25">
      <c r="A26" s="6" t="str">
        <f>Referencias!A26</f>
        <v>R25</v>
      </c>
      <c r="B26" s="6" t="str">
        <f>IF(Referencias!D26="","",Referencias!D26)</f>
        <v>B</v>
      </c>
      <c r="C26" s="6" t="str">
        <f>IF(Referencias!E26="","",Referencias!E26)</f>
        <v>Rafael Santos Tavares, L. Angulo-Meza, A. P. Sant'Anna (2021) A proposed multistage evaluation approach for Higher Education Institutions based on network Data envelopment analysis: A Brazilian experience</v>
      </c>
      <c r="D26" s="6" t="str">
        <f>IF(Referencias!G26="","",Referencias!G26)</f>
        <v>Desarrolla un enfoque de Network DEA en tres etapas aplicado a 45 universidades federales brasileñas, permitiendo medir eficiencia financiera, de pregrado y de posgrado con una visión más integral de los procesos universitarios</v>
      </c>
      <c r="E26" s="5" t="s">
        <v>240</v>
      </c>
      <c r="F26" s="5" t="s">
        <v>267</v>
      </c>
      <c r="G26" s="5" t="s">
        <v>250</v>
      </c>
    </row>
    <row r="27" spans="1:7" ht="128.25" x14ac:dyDescent="0.25">
      <c r="A27" s="6" t="str">
        <f>Referencias!A27</f>
        <v>R26</v>
      </c>
      <c r="B27" s="6" t="str">
        <f>IF(Referencias!D27="","",Referencias!D27)</f>
        <v>C</v>
      </c>
      <c r="C27" s="6" t="str">
        <f>IF(Referencias!E27="","",Referencias!E27)</f>
        <v>Francisco Javier Maza Ávila, Juan Carlos Vergara Schmalbach y Raúl Román Romero (2017) EFICIENCIA Y PRODUCTIVIDAD EN LA COBERTURA DE LAS UNIVERSIDADES PÚBLICAS COLOMBIANAS</v>
      </c>
      <c r="D27" s="6" t="str">
        <f>IF(Referencias!G27="","",Referencias!G27)</f>
        <v>Analiza la eficiencia técnica (DEA BCC) y los cambios en la productividad (índice de Malmquist) en la cobertura de 32 universidades públicas colombianas del Sistema Universitario Estatal (2003-2012), encontrando una eficiencia promedio superior al 70% y un crecimiento de la productividad del 9%, aunque con notables diferencias entre la región Andina y la región Caribe</v>
      </c>
      <c r="E27" s="5" t="s">
        <v>240</v>
      </c>
      <c r="F27" s="5" t="s">
        <v>268</v>
      </c>
      <c r="G27" s="5"/>
    </row>
    <row r="28" spans="1:7" ht="156.75" x14ac:dyDescent="0.25">
      <c r="A28" s="6" t="str">
        <f>Referencias!A28</f>
        <v>R27</v>
      </c>
      <c r="B28" s="6" t="str">
        <f>IF(Referencias!D28="","",Referencias!D28)</f>
        <v>C</v>
      </c>
      <c r="C28" s="6" t="str">
        <f>IF(Referencias!E28="","",Referencias!E28)</f>
        <v>Juan Morales-Piñero, Diana Niño-Muñoz y Diana Lesmes-Cardenas (2022) Gestión Pública o Privada de las Universidades: ¿Cuál es la Opción más Eficiente para una Política Pública en Educación Superior en Colombia?</v>
      </c>
      <c r="D28" s="6" t="str">
        <f>IF(Referencias!G28="","",Referencias!G28)</f>
        <v>Compara la eficiencia de 122 universidades públicas y privadas colombianas mediante una metafrontera DEA con *bad outputs* (incorporando el desempleo formal de sus graduados), concluyendo que no hay diferencias globales estadísticamente significativas en la eficiencia de gestión entre ambos sectores, aunque las universidades públicas lideran la producción científica y muestran mayor eficiencia en entornos urbanos de alta competencia</v>
      </c>
      <c r="E28" s="5" t="s">
        <v>240</v>
      </c>
      <c r="F28" s="5" t="s">
        <v>254</v>
      </c>
      <c r="G28" s="5"/>
    </row>
    <row r="29" spans="1:7" ht="122.25" customHeight="1" x14ac:dyDescent="0.25">
      <c r="A29" s="6" t="str">
        <f>Referencias!A29</f>
        <v>R28</v>
      </c>
      <c r="B29" s="6" t="str">
        <f>IF(Referencias!D29="","",Referencias!D29)</f>
        <v>C</v>
      </c>
      <c r="C29" s="6" t="str">
        <f>IF(Referencias!E29="","",Referencias!E29)</f>
        <v>Diego Visbal-Cadavid, Adel Mendoza y Eduardo Causado Rodríguez (2016) Eficiencia en las instituciones de educación superior públicas colombianas: una aplicación del análisis envolvente de datos</v>
      </c>
      <c r="D29" s="6" t="str">
        <f>IF(Referencias!G29="","",Referencias!G29)</f>
        <v>Aplica la metodología DEA para medir la eficiencia relativa de las instituciones públicas de educación superior en Colombia al transformar sus recursos institucionales e insumos en productos de docencia e investigación</v>
      </c>
      <c r="E29" s="5" t="s">
        <v>240</v>
      </c>
      <c r="F29" s="5" t="s">
        <v>269</v>
      </c>
      <c r="G29" s="26"/>
    </row>
    <row r="30" spans="1:7" ht="142.5" x14ac:dyDescent="0.25">
      <c r="A30" s="6" t="str">
        <f>Referencias!A30</f>
        <v>R29</v>
      </c>
      <c r="B30" s="6" t="str">
        <f>IF(Referencias!D30="","",Referencias!D30)</f>
        <v>C</v>
      </c>
      <c r="C30" s="6" t="str">
        <f>IF(Referencias!E30="","",Referencias!E30)</f>
        <v>Zulima Ramírez-Gutiérrez, Mercedes Barrachina-Palanca y Vicente Ripoll-Feliu (2020) Efficiency in higher education. Empirical study in public universities of Colombia and Spain[18]</v>
      </c>
      <c r="D30" s="6" t="str">
        <f>IF(Referencias!G30="","",Referencias!G30)</f>
        <v>Realiza una evaluación empírica mediante Análisis Envolvente de Datos para comparar el desempeño e identificar niveles de eficiencia técnica e institucional entre las universidades públicas de Colombia y España</v>
      </c>
      <c r="E30" s="27" t="s">
        <v>240</v>
      </c>
      <c r="F30" s="5" t="s">
        <v>270</v>
      </c>
      <c r="G30" s="26" t="s">
        <v>271</v>
      </c>
    </row>
    <row r="31" spans="1:7" ht="128.25" x14ac:dyDescent="0.25">
      <c r="A31" s="6" t="str">
        <f>Referencias!A31</f>
        <v>R30</v>
      </c>
      <c r="B31" s="6" t="str">
        <f>IF(Referencias!D31="","",Referencias!D31)</f>
        <v>C</v>
      </c>
      <c r="C31" s="6" t="str">
        <f>IF(Referencias!E31="","",Referencias!E31)</f>
        <v>Alejandro Altamirano-Corro y Rodrigo Peniche-Vera (2014) Measuring the institutional efficiency using DEA and AHP: The case of a Mexican university</v>
      </c>
      <c r="D31" s="6" t="str">
        <f>IF(Referencias!G31="","",Referencias!G31)</f>
        <v>Combina el Análisis Envolvente de Datos con el Proceso de Análisis Jerárquico (AHP) para evaluar la eficiencia institucional y la gestión con múltiples entradas y salidas en el ámbito universitario público en México</v>
      </c>
      <c r="E31" s="5" t="s">
        <v>240</v>
      </c>
      <c r="F31" s="5" t="s">
        <v>272</v>
      </c>
      <c r="G31" s="5" t="s">
        <v>273</v>
      </c>
    </row>
    <row r="32" spans="1:7" ht="85.5" x14ac:dyDescent="0.25">
      <c r="A32" s="6" t="str">
        <f>Referencias!A32</f>
        <v>R31</v>
      </c>
      <c r="B32" s="6" t="str">
        <f>IF(Referencias!D32="","",Referencias!D32)</f>
        <v>A</v>
      </c>
      <c r="C32" s="6" t="str">
        <f>IF(Referencias!E32="","",Referencias!E32)</f>
        <v>Zuluaga, R., Delahoz-Domínguez, E. J., &amp; Ojeda, H. (2020). Eficiencia académica estudiantil: un enfoque de análisis de componentes principales y análisis envolvente de datos.</v>
      </c>
      <c r="D32" s="6" t="str">
        <f>IF(Referencias!G32="","",Referencias!G32)</f>
        <v>Propone combinar PCA y DEA para medir la eficiencia académica a partir de los resultados de Saber Pro 2018 y encuentra que solo el 16,67 % de las unidades analizadas fueron eficientes, identificando competencias específicas susceptibles de mejora.</v>
      </c>
      <c r="E32" s="5" t="s">
        <v>240</v>
      </c>
      <c r="F32" s="5" t="s">
        <v>254</v>
      </c>
      <c r="G32" s="5"/>
    </row>
    <row r="33" spans="1:7" ht="85.5" x14ac:dyDescent="0.25">
      <c r="A33" s="6" t="str">
        <f>Referencias!A33</f>
        <v>R32</v>
      </c>
      <c r="B33" s="6" t="str">
        <f>IF(Referencias!D33="","",Referencias!D33)</f>
        <v>A</v>
      </c>
      <c r="C33" s="6" t="str">
        <f>IF(Referencias!E33="","",Referencias!E33)</f>
        <v>De La Hoz, E., Zuluaga, R., &amp; Mendoza, A. (2021). Assessing and Classification of Academic Efficiency in Engineering Teaching Programs.</v>
      </c>
      <c r="D33" s="6" t="str">
        <f>IF(Referencias!G33="","",Referencias!G33)</f>
        <v>Es muy pertinente para tu problema porque define explícitamente los Saber 11 como inputs y los Saber Pro como outputs del DEA, aplicándolo a 265 programas de ingeniería y resaltando la importancia de comparar instituciones con características similares.</v>
      </c>
      <c r="E33" s="5" t="s">
        <v>240</v>
      </c>
      <c r="F33" s="5" t="s">
        <v>254</v>
      </c>
      <c r="G33" s="5"/>
    </row>
    <row r="34" spans="1:7" ht="99.75" x14ac:dyDescent="0.25">
      <c r="A34" s="6" t="str">
        <f>Referencias!A34</f>
        <v>R33</v>
      </c>
      <c r="B34" s="6" t="str">
        <f>IF(Referencias!D34="","",Referencias!D34)</f>
        <v>A</v>
      </c>
      <c r="C34" s="6" t="str">
        <f>IF(Referencias!E34="","",Referencias!E34)</f>
        <v>Zuluaga, R., Camelo-Guarín, A., &amp; De La Hoz, E. (2023). Assessing the Relative Impact of Colombian Higher Education Institutions Using Fuzzy Data Envelopment Analysis (Fuzzy-DEA) in State Evaluations.</v>
      </c>
      <c r="D34" s="6" t="str">
        <f>IF(Referencias!G34="","",Referencias!G34)</f>
        <v>Aplica Fuzzy-DEA a 92 instituciones y 4.976 estudiantes de Ingeniería Industrial, usando Saber 11 como inputs y Saber Pro como outputs, y muestra cómo la frontera de eficiencia puede interpretarse como una ruta de incremento de resultados entre ambas pruebas.</v>
      </c>
      <c r="E34" s="5" t="s">
        <v>240</v>
      </c>
      <c r="F34" s="5" t="s">
        <v>254</v>
      </c>
      <c r="G34" s="5"/>
    </row>
    <row r="35" spans="1:7" ht="114" x14ac:dyDescent="0.25">
      <c r="A35" s="6" t="str">
        <f>Referencias!A35</f>
        <v>R34</v>
      </c>
      <c r="B35" s="6" t="str">
        <f>IF(Referencias!D35="","",Referencias!D35)</f>
        <v>A</v>
      </c>
      <c r="C35" s="6" t="str">
        <f>IF(Referencias!E35="","",Referencias!E35)</f>
        <v>Mendoza-Mendoza, A., De La Hoz-Domínguez, E. J., &amp; Visbal-Cadavid, D. (2023). Classification of industrial engineering programs in Colombia based on state tests.</v>
      </c>
      <c r="D35" s="6" t="str">
        <f>IF(Referencias!G35="","",Referencias!G35)</f>
        <v>Utiliza un DEA-BCC orientado a outputs, con resultados de Saber 11 como entradas y Saber Pro como salidas, para 5.318 estudiantes de 93 IES; las eficiencias obtenidas permiten clasificar los programas en tres grupos y muestran directamente la utilidad de tratar el resultado de egreso como producto educativo.</v>
      </c>
      <c r="E35" s="5" t="s">
        <v>240</v>
      </c>
      <c r="F35" s="5" t="s">
        <v>254</v>
      </c>
      <c r="G35" s="5"/>
    </row>
    <row r="36" spans="1:7" ht="99.75" x14ac:dyDescent="0.25">
      <c r="A36" s="6" t="str">
        <f>Referencias!A36</f>
        <v>R35</v>
      </c>
      <c r="B36" s="6" t="str">
        <f>IF(Referencias!D36="","",Referencias!D36)</f>
        <v>A</v>
      </c>
      <c r="C36" s="6" t="str">
        <f>IF(Referencias!E36="","",Referencias!E36)</f>
        <v>Marques, F. C., Davoglio, G. R., Gabardo da Camara, M. R., do Nascimento, S. P., &amp; Ferreira, C. R. (2021). Efficiency Comparison Between Public and Private Higher Education Institutions in the Academic Performance of Economics Senior Students.</v>
      </c>
      <c r="D36" s="6" t="str">
        <f>IF(Referencias!G36="","",Referencias!G36)</f>
        <v>Para ENADE, desarrolla una DEA descompuesta en una componente asociada al desempeño del estudiante y otra a la eficiencia de la IES, utilizando los resultados de estudiantes de Economía de 2012 y 2015 y controlando además factores socioeconómicos.</v>
      </c>
      <c r="E36" s="5" t="s">
        <v>240</v>
      </c>
      <c r="F36" s="5" t="s">
        <v>254</v>
      </c>
      <c r="G36" s="5"/>
    </row>
    <row r="37" spans="1:7" ht="71.25" x14ac:dyDescent="0.25">
      <c r="A37" s="6" t="str">
        <f>Referencias!A37</f>
        <v>R36</v>
      </c>
      <c r="B37" s="6" t="str">
        <f>IF(Referencias!D37="","",Referencias!D37)</f>
        <v>B</v>
      </c>
      <c r="C37" s="6" t="str">
        <f>IF(Referencias!E37="","",Referencias!E37)</f>
        <v>Zuluaga-Ortiz, R., Delahoz-Domínguez, E. J., &amp; Camelo-Guarín, A. (2022). Academic efficiency of engineering university degrees and its driving factors. A PLS-DEA approach. Journal of International Studies.</v>
      </c>
      <c r="D37" s="6" t="str">
        <f>IF(Referencias!G37="","",Referencias!G37)</f>
        <v>Usa explícitamente los resultados de Saber Pro como outputs y los de Saber 11 como inputs para modelar la transformación educativa en programas de ingeniería en Colombia.</v>
      </c>
      <c r="E37" s="5" t="s">
        <v>240</v>
      </c>
      <c r="F37" s="5" t="s">
        <v>254</v>
      </c>
      <c r="G37" s="5"/>
    </row>
    <row r="38" spans="1:7" ht="85.5" x14ac:dyDescent="0.25">
      <c r="A38" s="6" t="str">
        <f>Referencias!A38</f>
        <v>R37</v>
      </c>
      <c r="B38" s="6" t="str">
        <f>IF(Referencias!D38="","",Referencias!D38)</f>
        <v>B</v>
      </c>
      <c r="C38" s="6" t="str">
        <f>IF(Referencias!E38="","",Referencias!E38)</f>
        <v>Visbal-Cadavid, D., Martínez-Gómez, M., &amp; Guijarro, F. (2017). Assessing the Efficiency of Public Universities through DEA. A Case Study. Sustainability.</v>
      </c>
      <c r="D38" s="6" t="str">
        <f>IF(Referencias!G38="","",Referencias!G38)</f>
        <v>Incluye Saber Pro Top Quintile como variable de producto en un DEA orientado a outputs para universidades públicas colombianas, y muestra que casi todas las IES ineficientes requerían mejorar ese resultado para alcanzar la frontera.</v>
      </c>
      <c r="E38" s="5" t="s">
        <v>240</v>
      </c>
      <c r="F38" s="5" t="s">
        <v>254</v>
      </c>
      <c r="G38" s="5"/>
    </row>
    <row r="39" spans="1:7" ht="99.75" x14ac:dyDescent="0.25">
      <c r="A39" s="6" t="str">
        <f>Referencias!A39</f>
        <v>R38</v>
      </c>
      <c r="B39" s="6" t="str">
        <f>IF(Referencias!D39="","",Referencias!D39)</f>
        <v>B</v>
      </c>
      <c r="C39" s="6" t="str">
        <f>IF(Referencias!E39="","",Referencias!E39)</f>
        <v>Tavares, R. S., Angulo-Meza, L., &amp; Sant'Anna, A. P. (2021). A proposed multistage evaluation approach for Higher Education Institutions based on network Data envelopment analysis: A Brazilian experience. Evaluation and Program Planning.</v>
      </c>
      <c r="D39" s="6" t="str">
        <f>IF(Referencias!G39="","",Referencias!G39)</f>
        <v>Propone un Network DEA para 45 universidades federales brasileñas con una etapa de pregrado, consistente con el uso de indicadores de desempeño formativo tipo ENADE dentro de una evaluación multietapa, aunque el extracto no nombra la variable exacta.</v>
      </c>
      <c r="E39" s="5" t="s">
        <v>245</v>
      </c>
      <c r="F39" s="5" t="s">
        <v>274</v>
      </c>
      <c r="G39" s="5" t="s">
        <v>250</v>
      </c>
    </row>
    <row r="40" spans="1:7" ht="71.25" x14ac:dyDescent="0.25">
      <c r="A40" s="6" t="str">
        <f>Referencias!A40</f>
        <v>R39</v>
      </c>
      <c r="B40" s="6" t="str">
        <f>IF(Referencias!D40="","",Referencias!D40)</f>
        <v>B</v>
      </c>
      <c r="C40" s="6" t="str">
        <f>IF(Referencias!E40="","",Referencias!E40)</f>
        <v>Moreno-Gómez, J., Calleja-Blanco, J., &amp; Moreno-Gómez, G. (2019). Measuring the efficiency of the Colombian higher education system: a two-stage approach. International Journal of Educational Management.</v>
      </c>
      <c r="D40" s="6" t="str">
        <f>IF(Referencias!G40="","",Referencias!G40)</f>
        <v>Es un antecedente metodológico útil de DEA en universidades colombianas y de análisis en dos etapas, aunque el extracto disponible no confirma que use Saber Pro como output específico.</v>
      </c>
      <c r="E40" s="5" t="s">
        <v>245</v>
      </c>
      <c r="F40" s="5" t="s">
        <v>275</v>
      </c>
      <c r="G40" s="5" t="s">
        <v>276</v>
      </c>
    </row>
    <row r="41" spans="1:7" ht="185.25" x14ac:dyDescent="0.25">
      <c r="A41" s="6" t="str">
        <f>Referencias!A41</f>
        <v>R40</v>
      </c>
      <c r="B41" s="6" t="str">
        <f>IF(Referencias!D41="","",Referencias!D41)</f>
        <v>B</v>
      </c>
      <c r="C41" s="6" t="str">
        <f>IF(Referencias!E41="","",Referencias!E41)</f>
        <v>De Witte, K., &amp; López-Torres, L. (2017). Efficiency in education: a review of literature and a way forward. European Journal of Operational Research, 259(2), 432-452.</v>
      </c>
      <c r="D41" s="6" t="str">
        <f>IF(Referencias!G41="","",Referencias!G41)</f>
        <v>Constituye la revisión sistemática definitiva sobre DEA en educación, justificando metodológicamente por qué las calificaciones de pruebas estandarizadas de egreso deben priorizarse como variable de producto (output) para capturar la calidad del aprendizaje, en lugar de utilizar únicamente tasas de graduación.</v>
      </c>
      <c r="E41" s="5" t="s">
        <v>245</v>
      </c>
      <c r="F41" s="5" t="s">
        <v>277</v>
      </c>
      <c r="G41" s="5" t="s">
        <v>278</v>
      </c>
    </row>
    <row r="42" spans="1:7" ht="71.25" x14ac:dyDescent="0.25">
      <c r="A42" s="6" t="str">
        <f>Referencias!A42</f>
        <v>R41</v>
      </c>
      <c r="B42" s="6" t="str">
        <f>IF(Referencias!D42="","",Referencias!D42)</f>
        <v>C</v>
      </c>
      <c r="C42" s="6" t="str">
        <f>IF(Referencias!E42="","",Referencias!E42)</f>
        <v>Melo-Becerra, L. A., Ramos-Forero, J. E., &amp; Hernández-Santamaría, P. O. (2017). La educación superior en Colombia: situación actual y análisis de eficiencia. Desarrollo y Sociedad, (78), 59-111.</v>
      </c>
      <c r="D42" s="6" t="str">
        <f>IF(Referencias!G42="","",Referencias!G42)</f>
        <v>Incorpora explícitamente el desempeño en las pruebas Saber Pro como variable de producto (output) en un modelo DEA para evaluar la calidad educativa y la eficiencia técnica de las universidades colombianas.</v>
      </c>
      <c r="E42" s="5" t="s">
        <v>240</v>
      </c>
      <c r="F42" s="5" t="s">
        <v>254</v>
      </c>
      <c r="G42" s="5"/>
    </row>
    <row r="43" spans="1:7" ht="71.25" x14ac:dyDescent="0.25">
      <c r="A43" s="6" t="str">
        <f>Referencias!A43</f>
        <v>R42</v>
      </c>
      <c r="B43" s="6" t="str">
        <f>IF(Referencias!D43="","",Referencias!D43)</f>
        <v>C</v>
      </c>
      <c r="C43" s="6" t="str">
        <f>IF(Referencias!E43="","",Referencias!E43)</f>
        <v>Zoghbi, A. C., Rocha, F., &amp; Mattos, E. (2013). Education production efficiency: Evidence from Brazilian universities. Economic Modelling, 31, 94-103.</v>
      </c>
      <c r="D43" s="6" t="str">
        <f>IF(Referencias!G43="","",Referencias!G43)</f>
        <v>Utiliza la diferencia de puntajes entre estudiantes de primer y último año en el ENADE brasileño como proxy del valor agregado y producto educativo dentro de un análisis de eficiencia universitaria.</v>
      </c>
      <c r="E43" s="5" t="s">
        <v>240</v>
      </c>
      <c r="F43" s="5" t="s">
        <v>256</v>
      </c>
      <c r="G43" s="5"/>
    </row>
    <row r="44" spans="1:7" ht="85.5" x14ac:dyDescent="0.25">
      <c r="A44" s="6" t="str">
        <f>Referencias!A44</f>
        <v>R43</v>
      </c>
      <c r="B44" s="6" t="str">
        <f>IF(Referencias!D44="","",Referencias!D44)</f>
        <v>C</v>
      </c>
      <c r="C44" s="6" t="str">
        <f>IF(Referencias!E44="","",Referencias!E44)</f>
        <v>Visbal-Cadavid, D., Mendoza-Mendoza, A., &amp; Causado-Rodríguez, E. (2016). Eficiencia en las instituciones de educación superior públicas colombianas: una aplicación del análisis envolvente de datos. Civilizar. Ciencias Sociales y Humanas, 16(30), 105-118.</v>
      </c>
      <c r="D44" s="6" t="str">
        <f>IF(Referencias!G44="","",Referencias!G44)</f>
        <v>Operacionaliza la calidad institucional en un modelo DEA orientado a salidas utilizando como output el número de estudiantes con desempeño en el quintil superior de las pruebas Saber Pro.</v>
      </c>
      <c r="E44" s="5" t="s">
        <v>240</v>
      </c>
      <c r="F44" s="5" t="s">
        <v>254</v>
      </c>
      <c r="G44" s="5"/>
    </row>
    <row r="45" spans="1:7" ht="85.5" x14ac:dyDescent="0.25">
      <c r="A45" s="6" t="str">
        <f>Referencias!A45</f>
        <v>R44</v>
      </c>
      <c r="B45" s="6" t="str">
        <f>IF(Referencias!D45="","",Referencias!D45)</f>
        <v>C</v>
      </c>
      <c r="C45" s="6" t="str">
        <f>IF(Referencias!E45="","",Referencias!E45)</f>
        <v>Machado, R. N., &amp; Viana, J. C. (2014). Eficiência dos cursos de graduação no Brasil: Uma análise utilizando o Enade. Revista Brasileira de Estudos Pedagógicos, 95(241), 606-625.</v>
      </c>
      <c r="D45" s="6" t="str">
        <f>IF(Referencias!G45="","",Referencias!G45)</f>
        <v>Demuestra metodológicamente cómo los resultados brutos de la prueba estandarizada ENADE pueden ser utilizados como variable de salida directa en modelos DEA para rankear la eficiencia de programas de pregrado.</v>
      </c>
      <c r="E45" s="5" t="s">
        <v>258</v>
      </c>
      <c r="F45" s="5" t="s">
        <v>279</v>
      </c>
      <c r="G45" s="5"/>
    </row>
    <row r="46" spans="1:7" ht="71.25" x14ac:dyDescent="0.25">
      <c r="A46" s="6" t="str">
        <f>Referencias!A46</f>
        <v>R45</v>
      </c>
      <c r="B46" s="6" t="str">
        <f>IF(Referencias!D46="","",Referencias!D46)</f>
        <v>C</v>
      </c>
      <c r="C46" s="6" t="str">
        <f>IF(Referencias!E46="","",Referencias!E46)</f>
        <v>Visbal-Cadavid, D., Martínez-Gómez, M., &amp; Guijarro, F. (2017). Assessing the Efficiency of Public Universities through DEA. A Case Study. Sustainability, 9(8), 1416.</v>
      </c>
      <c r="D46" s="6" t="str">
        <f>IF(Referencias!G46="","",Referencias!G46)</f>
        <v>Evalúa 32 universidades públicas y consolida la metodología de medir la calidad de los egresados introduciendo en la frontera DEA el número ponderado de estudiantes en el quintil superior de Saber Pro.</v>
      </c>
      <c r="E46" s="5" t="s">
        <v>240</v>
      </c>
      <c r="F46" s="5" t="s">
        <v>254</v>
      </c>
      <c r="G46" s="5"/>
    </row>
    <row r="47" spans="1:7" x14ac:dyDescent="0.25">
      <c r="A47" s="6" t="str">
        <f>Referencias!A47</f>
        <v>R46</v>
      </c>
      <c r="B47" s="6" t="str">
        <f>IF(Referencias!D47="","",Referencias!D47)</f>
        <v/>
      </c>
      <c r="C47" s="6" t="str">
        <f>IF(Referencias!E47="","",Referencias!E47)</f>
        <v/>
      </c>
      <c r="D47" s="6" t="str">
        <f>IF(Referencias!G47="","",Referencias!G47)</f>
        <v/>
      </c>
      <c r="E47" s="6"/>
      <c r="F47" s="6"/>
      <c r="G47" s="6"/>
    </row>
    <row r="48" spans="1:7" x14ac:dyDescent="0.25">
      <c r="A48" s="6" t="str">
        <f>Referencias!A48</f>
        <v>R47</v>
      </c>
      <c r="B48" s="6" t="str">
        <f>IF(Referencias!D48="","",Referencias!D48)</f>
        <v/>
      </c>
      <c r="C48" s="6" t="str">
        <f>IF(Referencias!E48="","",Referencias!E48)</f>
        <v/>
      </c>
      <c r="D48" s="6" t="str">
        <f>IF(Referencias!G48="","",Referencias!G48)</f>
        <v/>
      </c>
      <c r="E48" s="6"/>
      <c r="F48" s="6"/>
      <c r="G48" s="6"/>
    </row>
    <row r="49" spans="1:7" x14ac:dyDescent="0.25">
      <c r="A49" s="6" t="str">
        <f>Referencias!A49</f>
        <v>R48</v>
      </c>
      <c r="B49" s="6" t="str">
        <f>IF(Referencias!D49="","",Referencias!D49)</f>
        <v/>
      </c>
      <c r="C49" s="6" t="str">
        <f>IF(Referencias!E49="","",Referencias!E49)</f>
        <v/>
      </c>
      <c r="D49" s="6" t="str">
        <f>IF(Referencias!G49="","",Referencias!G49)</f>
        <v/>
      </c>
      <c r="E49" s="6"/>
      <c r="F49" s="6"/>
      <c r="G49" s="6"/>
    </row>
    <row r="50" spans="1:7" x14ac:dyDescent="0.25">
      <c r="A50" s="6" t="str">
        <f>Referencias!A50</f>
        <v>R49</v>
      </c>
      <c r="B50" s="6" t="str">
        <f>IF(Referencias!D50="","",Referencias!D50)</f>
        <v/>
      </c>
      <c r="C50" s="6" t="str">
        <f>IF(Referencias!E50="","",Referencias!E50)</f>
        <v/>
      </c>
      <c r="D50" s="6" t="str">
        <f>IF(Referencias!G50="","",Referencias!G50)</f>
        <v/>
      </c>
      <c r="E50" s="6"/>
      <c r="F50" s="6"/>
      <c r="G50" s="6"/>
    </row>
    <row r="51" spans="1:7" x14ac:dyDescent="0.25">
      <c r="A51" s="6" t="str">
        <f>Referencias!A51</f>
        <v>R50</v>
      </c>
      <c r="B51" s="6" t="str">
        <f>IF(Referencias!D51="","",Referencias!D51)</f>
        <v/>
      </c>
      <c r="C51" s="6" t="str">
        <f>IF(Referencias!E51="","",Referencias!E51)</f>
        <v/>
      </c>
      <c r="D51" s="6" t="str">
        <f>IF(Referencias!G51="","",Referencias!G51)</f>
        <v/>
      </c>
      <c r="E51" s="6"/>
      <c r="F51" s="6"/>
      <c r="G51" s="6"/>
    </row>
    <row r="52" spans="1:7" x14ac:dyDescent="0.25">
      <c r="A52" s="6" t="str">
        <f>Referencias!A52</f>
        <v>R51</v>
      </c>
      <c r="B52" s="6" t="str">
        <f>IF(Referencias!D52="","",Referencias!D52)</f>
        <v/>
      </c>
      <c r="C52" s="6" t="str">
        <f>IF(Referencias!E52="","",Referencias!E52)</f>
        <v/>
      </c>
      <c r="D52" s="6" t="str">
        <f>IF(Referencias!G52="","",Referencias!G52)</f>
        <v/>
      </c>
      <c r="E52" s="6"/>
      <c r="F52" s="6"/>
      <c r="G52" s="6"/>
    </row>
    <row r="53" spans="1:7" x14ac:dyDescent="0.25">
      <c r="A53" s="6" t="str">
        <f>Referencias!A53</f>
        <v>R52</v>
      </c>
      <c r="B53" s="6" t="str">
        <f>IF(Referencias!D53="","",Referencias!D53)</f>
        <v/>
      </c>
      <c r="C53" s="6" t="str">
        <f>IF(Referencias!E53="","",Referencias!E53)</f>
        <v/>
      </c>
      <c r="D53" s="6" t="str">
        <f>IF(Referencias!G53="","",Referencias!G53)</f>
        <v/>
      </c>
      <c r="E53" s="6"/>
      <c r="F53" s="6"/>
      <c r="G53" s="6"/>
    </row>
    <row r="54" spans="1:7" x14ac:dyDescent="0.25">
      <c r="A54" s="6" t="str">
        <f>Referencias!A54</f>
        <v>R53</v>
      </c>
      <c r="B54" s="6" t="str">
        <f>IF(Referencias!D54="","",Referencias!D54)</f>
        <v/>
      </c>
      <c r="C54" s="6" t="str">
        <f>IF(Referencias!E54="","",Referencias!E54)</f>
        <v/>
      </c>
      <c r="D54" s="6" t="str">
        <f>IF(Referencias!G54="","",Referencias!G54)</f>
        <v/>
      </c>
      <c r="E54" s="6"/>
      <c r="F54" s="6"/>
      <c r="G54" s="6"/>
    </row>
    <row r="55" spans="1:7" x14ac:dyDescent="0.25">
      <c r="A55" s="6" t="str">
        <f>Referencias!A55</f>
        <v>R54</v>
      </c>
      <c r="B55" s="6" t="str">
        <f>IF(Referencias!D55="","",Referencias!D55)</f>
        <v/>
      </c>
      <c r="C55" s="6" t="str">
        <f>IF(Referencias!E55="","",Referencias!E55)</f>
        <v/>
      </c>
      <c r="D55" s="6" t="str">
        <f>IF(Referencias!G55="","",Referencias!G55)</f>
        <v/>
      </c>
      <c r="E55" s="6"/>
      <c r="F55" s="6"/>
      <c r="G55" s="6"/>
    </row>
    <row r="56" spans="1:7" x14ac:dyDescent="0.25">
      <c r="A56" s="6" t="str">
        <f>Referencias!A56</f>
        <v>R55</v>
      </c>
      <c r="B56" s="6" t="str">
        <f>IF(Referencias!D56="","",Referencias!D56)</f>
        <v/>
      </c>
      <c r="C56" s="6" t="str">
        <f>IF(Referencias!E56="","",Referencias!E56)</f>
        <v/>
      </c>
      <c r="D56" s="6" t="str">
        <f>IF(Referencias!G56="","",Referencias!G56)</f>
        <v/>
      </c>
      <c r="E56" s="6"/>
      <c r="F56" s="6"/>
      <c r="G56" s="6"/>
    </row>
    <row r="57" spans="1:7" x14ac:dyDescent="0.25">
      <c r="A57" s="6" t="str">
        <f>Referencias!A57</f>
        <v>R56</v>
      </c>
      <c r="B57" s="6" t="str">
        <f>IF(Referencias!D57="","",Referencias!D57)</f>
        <v/>
      </c>
      <c r="C57" s="6" t="str">
        <f>IF(Referencias!E57="","",Referencias!E57)</f>
        <v/>
      </c>
      <c r="D57" s="6" t="str">
        <f>IF(Referencias!G57="","",Referencias!G57)</f>
        <v/>
      </c>
      <c r="E57" s="6"/>
      <c r="F57" s="6"/>
      <c r="G57" s="6"/>
    </row>
    <row r="58" spans="1:7" x14ac:dyDescent="0.25">
      <c r="A58" s="6" t="str">
        <f>Referencias!A58</f>
        <v>R57</v>
      </c>
      <c r="B58" s="6" t="str">
        <f>IF(Referencias!D58="","",Referencias!D58)</f>
        <v/>
      </c>
      <c r="C58" s="6" t="str">
        <f>IF(Referencias!E58="","",Referencias!E58)</f>
        <v/>
      </c>
      <c r="D58" s="6" t="str">
        <f>IF(Referencias!G58="","",Referencias!G58)</f>
        <v/>
      </c>
      <c r="E58" s="6"/>
      <c r="F58" s="6"/>
      <c r="G58" s="6"/>
    </row>
    <row r="59" spans="1:7" x14ac:dyDescent="0.25">
      <c r="A59" s="6" t="str">
        <f>Referencias!A59</f>
        <v>R58</v>
      </c>
      <c r="B59" s="6" t="str">
        <f>IF(Referencias!D59="","",Referencias!D59)</f>
        <v/>
      </c>
      <c r="C59" s="6" t="str">
        <f>IF(Referencias!E59="","",Referencias!E59)</f>
        <v/>
      </c>
      <c r="D59" s="6" t="str">
        <f>IF(Referencias!G59="","",Referencias!G59)</f>
        <v/>
      </c>
      <c r="E59" s="6"/>
      <c r="F59" s="6"/>
      <c r="G59" s="6"/>
    </row>
    <row r="60" spans="1:7" x14ac:dyDescent="0.25">
      <c r="A60" s="6" t="str">
        <f>Referencias!A60</f>
        <v>R59</v>
      </c>
      <c r="B60" s="6" t="str">
        <f>IF(Referencias!D60="","",Referencias!D60)</f>
        <v/>
      </c>
      <c r="C60" s="6" t="str">
        <f>IF(Referencias!E60="","",Referencias!E60)</f>
        <v/>
      </c>
      <c r="D60" s="6" t="str">
        <f>IF(Referencias!G60="","",Referencias!G60)</f>
        <v/>
      </c>
      <c r="E60" s="6"/>
      <c r="F60" s="6"/>
      <c r="G60" s="6"/>
    </row>
    <row r="61" spans="1:7" x14ac:dyDescent="0.25">
      <c r="A61" s="6" t="str">
        <f>Referencias!A61</f>
        <v>R60</v>
      </c>
      <c r="B61" s="6" t="str">
        <f>IF(Referencias!D61="","",Referencias!D61)</f>
        <v/>
      </c>
      <c r="C61" s="6" t="str">
        <f>IF(Referencias!E61="","",Referencias!E61)</f>
        <v/>
      </c>
      <c r="D61" s="6" t="str">
        <f>IF(Referencias!G61="","",Referencias!G61)</f>
        <v/>
      </c>
      <c r="E61" s="6"/>
      <c r="F61" s="6"/>
      <c r="G61" s="6"/>
    </row>
    <row r="62" spans="1:7" x14ac:dyDescent="0.25">
      <c r="A62" s="6" t="str">
        <f>Referencias!A62</f>
        <v>R61</v>
      </c>
      <c r="B62" s="6" t="str">
        <f>IF(Referencias!D62="","",Referencias!D62)</f>
        <v/>
      </c>
      <c r="C62" s="6" t="str">
        <f>IF(Referencias!E62="","",Referencias!E62)</f>
        <v/>
      </c>
      <c r="D62" s="6" t="str">
        <f>IF(Referencias!G62="","",Referencias!G62)</f>
        <v/>
      </c>
      <c r="E62" s="6"/>
      <c r="F62" s="6"/>
      <c r="G62" s="6"/>
    </row>
    <row r="63" spans="1:7" x14ac:dyDescent="0.25">
      <c r="A63" s="6" t="str">
        <f>Referencias!A63</f>
        <v>R62</v>
      </c>
      <c r="B63" s="6" t="str">
        <f>IF(Referencias!D63="","",Referencias!D63)</f>
        <v/>
      </c>
      <c r="C63" s="6" t="str">
        <f>IF(Referencias!E63="","",Referencias!E63)</f>
        <v/>
      </c>
      <c r="D63" s="6" t="str">
        <f>IF(Referencias!G63="","",Referencias!G63)</f>
        <v/>
      </c>
      <c r="E63" s="6"/>
      <c r="F63" s="6"/>
      <c r="G63" s="6"/>
    </row>
    <row r="64" spans="1:7" x14ac:dyDescent="0.25">
      <c r="A64" s="6" t="str">
        <f>Referencias!A64</f>
        <v>R63</v>
      </c>
      <c r="B64" s="6" t="str">
        <f>IF(Referencias!D64="","",Referencias!D64)</f>
        <v/>
      </c>
      <c r="C64" s="6" t="str">
        <f>IF(Referencias!E64="","",Referencias!E64)</f>
        <v/>
      </c>
      <c r="D64" s="6" t="str">
        <f>IF(Referencias!G64="","",Referencias!G64)</f>
        <v/>
      </c>
      <c r="E64" s="6"/>
      <c r="F64" s="6"/>
      <c r="G64" s="6"/>
    </row>
    <row r="65" spans="1:7" x14ac:dyDescent="0.25">
      <c r="A65" s="6" t="str">
        <f>Referencias!A65</f>
        <v>R64</v>
      </c>
      <c r="B65" s="6" t="str">
        <f>IF(Referencias!D65="","",Referencias!D65)</f>
        <v/>
      </c>
      <c r="C65" s="6" t="str">
        <f>IF(Referencias!E65="","",Referencias!E65)</f>
        <v/>
      </c>
      <c r="D65" s="6" t="str">
        <f>IF(Referencias!G65="","",Referencias!G65)</f>
        <v/>
      </c>
      <c r="E65" s="6"/>
      <c r="F65" s="6"/>
      <c r="G65" s="6"/>
    </row>
    <row r="66" spans="1:7" x14ac:dyDescent="0.25">
      <c r="A66" s="6" t="str">
        <f>Referencias!A66</f>
        <v>R65</v>
      </c>
      <c r="B66" s="6" t="str">
        <f>IF(Referencias!D66="","",Referencias!D66)</f>
        <v/>
      </c>
      <c r="C66" s="6" t="str">
        <f>IF(Referencias!E66="","",Referencias!E66)</f>
        <v/>
      </c>
      <c r="D66" s="6" t="str">
        <f>IF(Referencias!G66="","",Referencias!G66)</f>
        <v/>
      </c>
      <c r="E66" s="6"/>
      <c r="F66" s="6"/>
      <c r="G66" s="6"/>
    </row>
    <row r="67" spans="1:7" x14ac:dyDescent="0.25">
      <c r="A67" s="6" t="str">
        <f>Referencias!A67</f>
        <v>R66</v>
      </c>
      <c r="B67" s="6" t="str">
        <f>IF(Referencias!D67="","",Referencias!D67)</f>
        <v/>
      </c>
      <c r="C67" s="6" t="str">
        <f>IF(Referencias!E67="","",Referencias!E67)</f>
        <v/>
      </c>
      <c r="D67" s="6" t="str">
        <f>IF(Referencias!G67="","",Referencias!G67)</f>
        <v/>
      </c>
      <c r="E67" s="6"/>
      <c r="F67" s="6"/>
      <c r="G67" s="6"/>
    </row>
    <row r="68" spans="1:7" x14ac:dyDescent="0.25">
      <c r="A68" s="6" t="str">
        <f>Referencias!A68</f>
        <v>R67</v>
      </c>
      <c r="B68" s="6" t="str">
        <f>IF(Referencias!D68="","",Referencias!D68)</f>
        <v/>
      </c>
      <c r="C68" s="6" t="str">
        <f>IF(Referencias!E68="","",Referencias!E68)</f>
        <v/>
      </c>
      <c r="D68" s="6" t="str">
        <f>IF(Referencias!G68="","",Referencias!G68)</f>
        <v/>
      </c>
      <c r="E68" s="6"/>
      <c r="F68" s="6"/>
      <c r="G68" s="6"/>
    </row>
    <row r="69" spans="1:7" x14ac:dyDescent="0.25">
      <c r="A69" s="6" t="str">
        <f>Referencias!A69</f>
        <v>R68</v>
      </c>
      <c r="B69" s="6" t="str">
        <f>IF(Referencias!D69="","",Referencias!D69)</f>
        <v/>
      </c>
      <c r="C69" s="6" t="str">
        <f>IF(Referencias!E69="","",Referencias!E69)</f>
        <v/>
      </c>
      <c r="D69" s="6" t="str">
        <f>IF(Referencias!G69="","",Referencias!G69)</f>
        <v/>
      </c>
      <c r="E69" s="6"/>
      <c r="F69" s="6"/>
      <c r="G69" s="6"/>
    </row>
    <row r="70" spans="1:7" x14ac:dyDescent="0.25">
      <c r="A70" s="6" t="str">
        <f>Referencias!A70</f>
        <v>R69</v>
      </c>
      <c r="B70" s="6" t="str">
        <f>IF(Referencias!D70="","",Referencias!D70)</f>
        <v/>
      </c>
      <c r="C70" s="6" t="str">
        <f>IF(Referencias!E70="","",Referencias!E70)</f>
        <v/>
      </c>
      <c r="D70" s="6" t="str">
        <f>IF(Referencias!G70="","",Referencias!G70)</f>
        <v/>
      </c>
      <c r="E70" s="6"/>
      <c r="F70" s="6"/>
      <c r="G70" s="6"/>
    </row>
    <row r="71" spans="1:7" x14ac:dyDescent="0.25">
      <c r="A71" s="6" t="str">
        <f>Referencias!A71</f>
        <v>R70</v>
      </c>
      <c r="B71" s="6" t="str">
        <f>IF(Referencias!D71="","",Referencias!D71)</f>
        <v/>
      </c>
      <c r="C71" s="6" t="str">
        <f>IF(Referencias!E71="","",Referencias!E71)</f>
        <v/>
      </c>
      <c r="D71" s="6" t="str">
        <f>IF(Referencias!G71="","",Referencias!G71)</f>
        <v/>
      </c>
      <c r="E71" s="6"/>
      <c r="F71" s="6"/>
      <c r="G71" s="6"/>
    </row>
    <row r="72" spans="1:7" x14ac:dyDescent="0.25">
      <c r="A72" s="6" t="str">
        <f>Referencias!A72</f>
        <v>R71</v>
      </c>
      <c r="B72" s="6" t="str">
        <f>IF(Referencias!D72="","",Referencias!D72)</f>
        <v/>
      </c>
      <c r="C72" s="6" t="str">
        <f>IF(Referencias!E72="","",Referencias!E72)</f>
        <v/>
      </c>
      <c r="D72" s="6" t="str">
        <f>IF(Referencias!G72="","",Referencias!G72)</f>
        <v/>
      </c>
      <c r="E72" s="6"/>
      <c r="F72" s="6"/>
      <c r="G72" s="6"/>
    </row>
    <row r="73" spans="1:7" x14ac:dyDescent="0.25">
      <c r="A73" s="6" t="str">
        <f>Referencias!A73</f>
        <v>R72</v>
      </c>
      <c r="B73" s="6" t="str">
        <f>IF(Referencias!D73="","",Referencias!D73)</f>
        <v/>
      </c>
      <c r="C73" s="6" t="str">
        <f>IF(Referencias!E73="","",Referencias!E73)</f>
        <v/>
      </c>
      <c r="D73" s="6" t="str">
        <f>IF(Referencias!G73="","",Referencias!G73)</f>
        <v/>
      </c>
      <c r="E73" s="6"/>
      <c r="F73" s="6"/>
      <c r="G73" s="6"/>
    </row>
    <row r="74" spans="1:7" x14ac:dyDescent="0.25">
      <c r="E74" s="6"/>
      <c r="F74" s="6"/>
      <c r="G74" s="6"/>
    </row>
    <row r="75" spans="1:7" x14ac:dyDescent="0.25">
      <c r="E75" s="6"/>
      <c r="F75" s="6"/>
      <c r="G75" s="6"/>
    </row>
    <row r="76" spans="1:7" x14ac:dyDescent="0.25">
      <c r="E76" s="6"/>
      <c r="F76" s="6"/>
      <c r="G76" s="6"/>
    </row>
    <row r="77" spans="1:7" x14ac:dyDescent="0.25">
      <c r="E77" s="6"/>
      <c r="F77" s="6"/>
      <c r="G77" s="6"/>
    </row>
    <row r="78" spans="1:7" x14ac:dyDescent="0.25">
      <c r="E78" s="6"/>
      <c r="F78" s="6"/>
      <c r="G78" s="6"/>
    </row>
    <row r="79" spans="1:7" x14ac:dyDescent="0.25">
      <c r="E79" s="6"/>
      <c r="F79" s="6"/>
      <c r="G79" s="6"/>
    </row>
    <row r="80" spans="1:7" x14ac:dyDescent="0.25">
      <c r="E80" s="6"/>
      <c r="F80" s="6"/>
      <c r="G80" s="6"/>
    </row>
    <row r="81" spans="5:7" x14ac:dyDescent="0.25">
      <c r="E81" s="6"/>
      <c r="F81" s="6"/>
      <c r="G81" s="6"/>
    </row>
    <row r="82" spans="5:7" x14ac:dyDescent="0.25">
      <c r="E82" s="6"/>
      <c r="F82" s="6"/>
      <c r="G82" s="6"/>
    </row>
  </sheetData>
  <dataValidations count="1">
    <dataValidation type="list" allowBlank="1" sqref="E2:E73" xr:uid="{00000000-0002-0000-0200-000000000000}">
      <formula1>"Utilizable,Existe pero no dice eso,No existe"</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zoomScaleNormal="100" workbookViewId="0">
      <pane ySplit="1" topLeftCell="A42" activePane="bottomLeft" state="frozen"/>
      <selection pane="bottomLeft" activeCell="G45" sqref="G45"/>
    </sheetView>
  </sheetViews>
  <sheetFormatPr baseColWidth="10" defaultColWidth="8.7109375" defaultRowHeight="15" x14ac:dyDescent="0.25"/>
  <cols>
    <col min="1" max="1" width="7" customWidth="1"/>
    <col min="2" max="2" width="11" customWidth="1"/>
    <col min="3" max="3" width="50" customWidth="1"/>
    <col min="4" max="4" width="45" customWidth="1"/>
    <col min="5" max="5" width="24" customWidth="1"/>
    <col min="6" max="6" width="40" customWidth="1"/>
    <col min="7" max="7" width="36" customWidth="1"/>
  </cols>
  <sheetData>
    <row r="1" spans="1:7" ht="30" x14ac:dyDescent="0.25">
      <c r="A1" s="3" t="s">
        <v>16</v>
      </c>
      <c r="B1" s="3" t="s">
        <v>19</v>
      </c>
      <c r="C1" s="3" t="s">
        <v>235</v>
      </c>
      <c r="D1" s="3" t="s">
        <v>236</v>
      </c>
      <c r="E1" s="3" t="s">
        <v>237</v>
      </c>
      <c r="F1" s="3" t="s">
        <v>238</v>
      </c>
      <c r="G1" s="3" t="s">
        <v>239</v>
      </c>
    </row>
    <row r="2" spans="1:7" ht="128.25" x14ac:dyDescent="0.25">
      <c r="A2" s="6" t="str">
        <f>Referencias!A2</f>
        <v>R01</v>
      </c>
      <c r="B2" s="6" t="str">
        <f>IF(Referencias!D2="","",Referencias!D2)</f>
        <v>A</v>
      </c>
      <c r="C2" s="6" t="str">
        <f>IF(Referencias!E2="","",Referencias!E2)</f>
        <v>Worthington, A. C., &amp; Lee, B. L. (2008). Efficiency, technology and productivity change in Australian universities, 1998–2003.</v>
      </c>
      <c r="D2" s="6" t="str">
        <f>IF(Referencias!G2="","",Referencias!G2)</f>
        <v>Worthington y Lee (2008) aplican el índice de Malmquist a 35 universidades australianas durante el periodo 1998-2003 para medir el crecimiento de la productividad y descomponerlo en cambios de eficiencia técnica y progreso tecnológico. El estudio encuentra un crecimiento promedio anual de la productividad del 3,3%, atribuido principalmente al progreso tecnológico.</v>
      </c>
      <c r="E2" s="5" t="s">
        <v>240</v>
      </c>
      <c r="F2" s="5" t="s">
        <v>280</v>
      </c>
      <c r="G2" s="5" t="s">
        <v>281</v>
      </c>
    </row>
    <row r="3" spans="1:7" ht="99.75" x14ac:dyDescent="0.25">
      <c r="A3" s="6" t="str">
        <f>Referencias!A3</f>
        <v>R02</v>
      </c>
      <c r="B3" s="6" t="str">
        <f>IF(Referencias!D3="","",Referencias!D3)</f>
        <v>A</v>
      </c>
      <c r="C3" s="6" t="str">
        <f>IF(Referencias!E3="","",Referencias!E3)</f>
        <v>Flegg, A. T., Allen, D. O., Field, K., &amp; Thurlow, T. W. (2004). Measuring the efficiency of British universities: A multi-period data envelopment analysis</v>
      </c>
      <c r="D3" s="6" t="str">
        <f>IF(Referencias!G3="","",Referencias!G3)</f>
        <v>Utiliza DEA en varios periodos para estudiar la evolución de la eficiencia universitaria y constituye un antecedente metodológico importante para analizar productividad y eficiencia a lo largo del tiempo.</v>
      </c>
      <c r="E3" s="5" t="s">
        <v>240</v>
      </c>
      <c r="F3" s="5" t="s">
        <v>280</v>
      </c>
      <c r="G3" s="5" t="s">
        <v>281</v>
      </c>
    </row>
    <row r="4" spans="1:7" ht="114" x14ac:dyDescent="0.25">
      <c r="A4" s="6" t="str">
        <f>Referencias!A4</f>
        <v>R03</v>
      </c>
      <c r="B4" s="6" t="str">
        <f>IF(Referencias!D4="","",Referencias!D4)</f>
        <v>A</v>
      </c>
      <c r="C4" s="6" t="str">
        <f>IF(Referencias!E4="","",Referencias!E4)</f>
        <v>Johnes, J. (2006). Data envelopment analysis and its application to the measurement of efficiency in higher education.</v>
      </c>
      <c r="D4" s="6" t="str">
        <f>IF(Referencias!G4="","",Referencias!G4)</f>
        <v>Presenta y discute la aplicación de DEA en educación superior, explicando cómo las universidades pueden analizarse como unidades que transforman múltiples insumos en productos; es una base metodológica que posteriormente calcula índices de Malmquist.</v>
      </c>
      <c r="E4" s="5" t="s">
        <v>240</v>
      </c>
      <c r="F4" s="5" t="s">
        <v>282</v>
      </c>
      <c r="G4" s="5" t="s">
        <v>283</v>
      </c>
    </row>
    <row r="5" spans="1:7" ht="85.5" x14ac:dyDescent="0.25">
      <c r="A5" s="6" t="str">
        <f>Referencias!A5</f>
        <v>R04</v>
      </c>
      <c r="B5" s="6" t="str">
        <f>IF(Referencias!D5="","",Referencias!D5)</f>
        <v>A</v>
      </c>
      <c r="C5" s="6" t="str">
        <f>IF(Referencias!E5="","",Referencias!E5)</f>
        <v>Kao, C., &amp; Hung, H.-T. (2008). Efficiency analysis of university departments: An empirical study.</v>
      </c>
      <c r="D5" s="6" t="str">
        <f>IF(Referencias!G5="","",Referencias!G5)</f>
        <v>Muestra cómo DEA puede utilizarse para comparar unidades universitarias con múltiples insumos y productos, lo que resulta relevante cuando el índice de Malmquist se construye sobre fronteras de producción estimadas mediante DEA.</v>
      </c>
      <c r="E5" s="5" t="s">
        <v>240</v>
      </c>
      <c r="F5" s="5" t="s">
        <v>284</v>
      </c>
      <c r="G5" s="5" t="s">
        <v>285</v>
      </c>
    </row>
    <row r="6" spans="1:7" ht="142.5" x14ac:dyDescent="0.25">
      <c r="A6" s="6" t="str">
        <f>Referencias!A6</f>
        <v>R05</v>
      </c>
      <c r="B6" s="6" t="str">
        <f>IF(Referencias!D6="","",Referencias!D6)</f>
        <v>A</v>
      </c>
      <c r="C6" s="6" t="str">
        <f>IF(Referencias!E6="","",Referencias!E6)</f>
        <v>Abbott, M., &amp; Doucouliagos, C. (2003). The efficiency of Australian universities: A data envelopment analysis.</v>
      </c>
      <c r="D6" s="6" t="str">
        <f>IF(Referencias!G6="","",Referencias!G6)</f>
        <v>Analiza la eficiencia relativa de universidades australianas mediante DEA y demuestra la utilidad de este enfoque para estudiar diferencias de productividad/eficiencia entre instituciones de educación superior.</v>
      </c>
      <c r="E6" s="5" t="s">
        <v>240</v>
      </c>
      <c r="F6" s="5" t="s">
        <v>286</v>
      </c>
      <c r="G6" s="5" t="s">
        <v>287</v>
      </c>
    </row>
    <row r="7" spans="1:7" ht="114" x14ac:dyDescent="0.25">
      <c r="A7" s="6" t="str">
        <f>Referencias!A7</f>
        <v>R06</v>
      </c>
      <c r="B7" s="6" t="str">
        <f>IF(Referencias!D7="","",Referencias!D7)</f>
        <v>B</v>
      </c>
      <c r="C7" s="6" t="str">
        <f>IF(Referencias!E7="","",Referencias!E7)</f>
        <v xml:space="preserve">	Johnes, J.(2008). Efficiency and Productivity Change in the English Higher Education Sector from 1996/97 to 2004/5</v>
      </c>
      <c r="D7" s="6" t="str">
        <f>IF(Referencias!G7="","",Referencias!G7)</f>
        <v xml:space="preserve">Estima índices de Malmquist para 112 instituciones inglesas y encuentra un aumento medio anual de productividad de 1%, explicado por +6% de cambio tecnológico y −5% de eficiencia técnica </v>
      </c>
      <c r="E7" s="5" t="s">
        <v>240</v>
      </c>
      <c r="F7" s="5" t="s">
        <v>288</v>
      </c>
      <c r="G7" s="5" t="s">
        <v>289</v>
      </c>
    </row>
    <row r="8" spans="1:7" ht="71.25" x14ac:dyDescent="0.25">
      <c r="A8" s="6" t="str">
        <f>Referencias!A8</f>
        <v>R07</v>
      </c>
      <c r="B8" s="6" t="str">
        <f>IF(Referencias!D8="","",Referencias!D8)</f>
        <v>B</v>
      </c>
      <c r="C8" s="6" t="str">
        <f>IF(Referencias!E8="","",Referencias!E8)</f>
        <v>Parteka, A.; Wolszczak-Derlacz, J.(2012). Dynamics of productivity in higher education: cross-european evidence based on bootstrapped Malmquist indices</v>
      </c>
      <c r="D8" s="6" t="str">
        <f>IF(Referencias!G8="","",Referencias!G8)</f>
        <v xml:space="preserve">Analiza 266 instituciones públicas en 7 países europeos y muestra un crecimiento medio anual de productividad de 4%, además de evaluar la significancia estadística de los cambios con bootstrap </v>
      </c>
      <c r="E8" s="5" t="s">
        <v>240</v>
      </c>
      <c r="F8" s="5" t="s">
        <v>290</v>
      </c>
      <c r="G8" s="5" t="s">
        <v>291</v>
      </c>
    </row>
    <row r="9" spans="1:7" ht="85.5" x14ac:dyDescent="0.25">
      <c r="A9" s="6" t="str">
        <f>Referencias!A9</f>
        <v>R08</v>
      </c>
      <c r="B9" s="6" t="str">
        <f>IF(Referencias!D9="","",Referencias!D9)</f>
        <v>B</v>
      </c>
      <c r="C9" s="6" t="str">
        <f>IF(Referencias!E9="","",Referencias!E9)</f>
        <v>Worthington, A.; Lee, B. L.(Worthington, A.; Lee, B. L.(2008).Efficiency, technology and productivity change in Australian universities, 1998–2003</v>
      </c>
      <c r="D9" s="6" t="str">
        <f>IF(Referencias!G9="","",Referencias!G9)</f>
        <v xml:space="preserve">Para 35 universidades australianas, reporta un crecimiento anual medio de productividad de 3.3%, atribuido principalmente al progreso tecnológico; además separa productividad de docencia e investigación </v>
      </c>
      <c r="E9" s="5" t="s">
        <v>240</v>
      </c>
      <c r="F9" s="5" t="s">
        <v>292</v>
      </c>
      <c r="G9" s="5" t="s">
        <v>293</v>
      </c>
    </row>
    <row r="10" spans="1:7" ht="99.75" x14ac:dyDescent="0.25">
      <c r="A10" s="6" t="str">
        <f>Referencias!A10</f>
        <v>R09</v>
      </c>
      <c r="B10" s="6" t="str">
        <f>IF(Referencias!D10="","",Referencias!D10)</f>
        <v>B</v>
      </c>
      <c r="C10" s="6" t="str">
        <f>IF(Referencias!E10="","",Referencias!E10)</f>
        <v>García-Aracil, A.(2013). Understanding productivity changes in public universities: Evidence from Spain</v>
      </c>
      <c r="D10" s="6" t="str">
        <f>IF(Referencias!G10="","",Referencias!G10)</f>
        <v>Estudia universidades españolas entre 1994 y 2008 y encuentra que el crecimiento de productividad se debe más a mejoras de eficiencia que al progreso tecnológico, con un papel menor de la eficiencia de escala.</v>
      </c>
      <c r="E10" s="5" t="s">
        <v>240</v>
      </c>
      <c r="F10" s="5" t="s">
        <v>294</v>
      </c>
      <c r="G10" s="5" t="s">
        <v>295</v>
      </c>
    </row>
    <row r="11" spans="1:7" ht="71.25" x14ac:dyDescent="0.25">
      <c r="A11" s="6" t="str">
        <f>Referencias!A11</f>
        <v>R10</v>
      </c>
      <c r="B11" s="6" t="str">
        <f>IF(Referencias!D11="","",Referencias!D11)</f>
        <v>B</v>
      </c>
      <c r="C11" s="6" t="str">
        <f>IF(Referencias!E11="","",Referencias!E11)</f>
        <v>de la Hoz, E.; García-Yerena, C.; Zuluaga-Ortiz, R.(2026). Academic Productivity Dynamics in Colombian Social Science Programs: A PCA–Malmquist Index Approach (2020–2023)</v>
      </c>
      <c r="D11" s="6" t="str">
        <f>IF(Referencias!G11="","",Referencias!G11)</f>
        <v xml:space="preserve">Aplica PCA–Malmquist a 11,099 observaciones y concluye que 76% de las mejoras de productividad se explican por cambio tecnológico, con fuertes diferencias regionales </v>
      </c>
      <c r="E11" s="5" t="s">
        <v>240</v>
      </c>
      <c r="F11" s="5" t="s">
        <v>296</v>
      </c>
      <c r="G11" s="5" t="s">
        <v>291</v>
      </c>
    </row>
    <row r="12" spans="1:7" ht="99.75" x14ac:dyDescent="0.25">
      <c r="A12" s="6" t="str">
        <f>Referencias!A12</f>
        <v>R11</v>
      </c>
      <c r="B12" s="6" t="str">
        <f>IF(Referencias!D12="","",Referencias!D12)</f>
        <v>C</v>
      </c>
      <c r="C12" s="6" t="str">
        <f>IF(Referencias!E12="","",Referencias!E12)</f>
        <v>Francisco Javier Maza Ávila, Juan Carlos Vergara Schmalbach y Raúl Román Romero. (2017).Eficiencia y productividad en la cobertura de las universidades públicas colombianas</v>
      </c>
      <c r="D12" s="6" t="str">
        <f>IF(Referencias!G12="","",Referencias!G12)</f>
        <v>Evalúa la evolución de la productividad en la cobertura de 32 universidades públicas colombianas (2003-2012) mediante el índice de Malmquist, encontrando un crecimiento promedio anual del 9% en la productividad impulsado fundamentalmente por avances tecnológicos</v>
      </c>
      <c r="E12" s="5" t="s">
        <v>240</v>
      </c>
      <c r="F12" s="5" t="s">
        <v>297</v>
      </c>
      <c r="G12" s="5" t="s">
        <v>291</v>
      </c>
    </row>
    <row r="13" spans="1:7" ht="99.75" x14ac:dyDescent="0.25">
      <c r="A13" s="6" t="str">
        <f>Referencias!A13</f>
        <v>R12</v>
      </c>
      <c r="B13" s="6" t="str">
        <f>IF(Referencias!D13="","",Referencias!D13)</f>
        <v>C</v>
      </c>
      <c r="C13" s="6" t="str">
        <f>IF(Referencias!E13="","",Referencias!E13)</f>
        <v>Morales-Piñero, Niño-Muñoz, &amp; Lesmes-Cardenas (2022).Gestión Pública o Privada de las Universidades: ¿Cuál es la Opción más Eficiente para una Política Pública en Educación Superior en Colombia?</v>
      </c>
      <c r="D13" s="6" t="str">
        <f>IF(Referencias!G13="","",Referencias!G13)</f>
        <v>Emplea el índice Global Malmquist-Luenberger (GML) con metafronteras DEA para evaluar la productividad y la eficiencia de 122 universidades públicas y privadas colombianas considerando bad outputs como los egresados no vinculados al mercado laboral formal</v>
      </c>
      <c r="E13" s="5" t="s">
        <v>240</v>
      </c>
      <c r="F13" s="5" t="s">
        <v>297</v>
      </c>
      <c r="G13" s="5" t="s">
        <v>291</v>
      </c>
    </row>
    <row r="14" spans="1:7" ht="85.5" x14ac:dyDescent="0.25">
      <c r="A14" s="6" t="str">
        <f>Referencias!A14</f>
        <v>R13</v>
      </c>
      <c r="B14" s="6" t="str">
        <f>IF(Referencias!D14="","",Referencias!D14)</f>
        <v>C</v>
      </c>
      <c r="C14" s="6" t="str">
        <f>IF(Referencias!E14="","",Referencias!E14)</f>
        <v>Thanassoulis, Kortelainen, Johnes, &amp; Johnes (2011).Costs and efficiency of higher education institutions in England: A DEA analysis.</v>
      </c>
      <c r="D14" s="6" t="str">
        <f>IF(Referencias!G14="","",Referencias!G14)</f>
        <v>Utiliza el índice de Malmquist combinado con modelos DEA para medir las variaciones en la productividad total de los factores a lo largo del tiempo y analizar las estructuras de costos en las instituciones de educación superior en Inglaterra.</v>
      </c>
      <c r="E14" s="5" t="s">
        <v>240</v>
      </c>
      <c r="F14" s="5" t="s">
        <v>298</v>
      </c>
      <c r="G14" s="5" t="s">
        <v>291</v>
      </c>
    </row>
    <row r="15" spans="1:7" ht="114" x14ac:dyDescent="0.25">
      <c r="A15" s="6" t="str">
        <f>Referencias!A15</f>
        <v>R14</v>
      </c>
      <c r="B15" s="6" t="str">
        <f>IF(Referencias!D15="","",Referencias!D15)</f>
        <v>C</v>
      </c>
      <c r="C15" s="6" t="str">
        <f>IF(Referencias!E15="","",Referencias!E15)</f>
        <v>Flegg, Allen, Field, &amp; Thurlow (2004).Measuring the efficiency of British universities: A multiperiod data envelopment analysis.</v>
      </c>
      <c r="D15" s="6" t="str">
        <f>IF(Referencias!G15="","",Referencias!G15)</f>
        <v xml:space="preserve"> Mide los cambios en la productividad y la eficiencia técnica de las universidades británicas en múltiples periodos aplicando el índice de Malmquist, evaluando además el impacto de la congestión de insumos en el rendimiento.</v>
      </c>
      <c r="E15" s="5" t="s">
        <v>258</v>
      </c>
      <c r="F15" s="5" t="s">
        <v>299</v>
      </c>
      <c r="G15" s="5" t="s">
        <v>300</v>
      </c>
    </row>
    <row r="16" spans="1:7" ht="71.25" x14ac:dyDescent="0.25">
      <c r="A16" s="6" t="str">
        <f>Referencias!A16</f>
        <v>R15</v>
      </c>
      <c r="B16" s="6" t="str">
        <f>IF(Referencias!D16="","",Referencias!D16)</f>
        <v>C</v>
      </c>
      <c r="C16" s="6" t="str">
        <f>IF(Referencias!E16="","",Referencias!E16)</f>
        <v>Galvis-Aponte (2015). LA EFICIENCIA DEL GASTO PÚBLICO
EN EDUCACIÓN EN COLOMBIA</v>
      </c>
      <c r="D16" s="6" t="str">
        <f>IF(Referencias!G16="","",Referencias!G16)</f>
        <v xml:space="preserve"> Evalúa la eficiencia del gasto territorial del Sistema General de Participaciones (SGP) en municipios colombianos (2012), encontrando una eficiencia promedio de 63,4% en cobertura y de 48,8% en calidad educativa.</v>
      </c>
      <c r="E16" s="5" t="s">
        <v>240</v>
      </c>
      <c r="F16" s="5" t="s">
        <v>297</v>
      </c>
      <c r="G16" s="5" t="s">
        <v>291</v>
      </c>
    </row>
    <row r="17" spans="1:7" ht="85.5" x14ac:dyDescent="0.25">
      <c r="A17" s="6" t="str">
        <f>Referencias!A17</f>
        <v>R16</v>
      </c>
      <c r="B17" s="6" t="str">
        <f>IF(Referencias!D17="","",Referencias!D17)</f>
        <v>A</v>
      </c>
      <c r="C17" s="6" t="str">
        <f>IF(Referencias!E17="","",Referencias!E17)</f>
        <v>Melo-Becerra, L. A., &amp; Vásquez, D. M. (2019). Eficiencia de las instituciones de educación superior en Colombia: una aproximación mediante análisis envolvente de datos</v>
      </c>
      <c r="D17" s="6" t="str">
        <f>IF(Referencias!G17="","",Referencias!G17)</f>
        <v>Es directamente pertinente para Colombia: utiliza DEA para estudiar diferencias de eficiencia entre instituciones de educación superior y permite sustentar la selección de insumos y productos educativos en un contexto colombiano.</v>
      </c>
      <c r="E17" s="5" t="s">
        <v>258</v>
      </c>
      <c r="F17" s="5" t="s">
        <v>301</v>
      </c>
      <c r="G17" s="5" t="s">
        <v>302</v>
      </c>
    </row>
    <row r="18" spans="1:7" ht="85.5" x14ac:dyDescent="0.25">
      <c r="A18" s="6" t="str">
        <f>Referencias!A18</f>
        <v>R17</v>
      </c>
      <c r="B18" s="6" t="str">
        <f>IF(Referencias!D18="","",Referencias!D18)</f>
        <v>A</v>
      </c>
      <c r="C18" s="6" t="str">
        <f>IF(Referencias!E18="","",Referencias!E18)</f>
        <v>González, L., &amp; Callejas, J. (2011). Análisis envolvente de datos aplicado a la evaluación de la eficiencia de las universidades públicas españolas</v>
      </c>
      <c r="D18" s="6" t="str">
        <f>IF(Referencias!G18="","",Referencias!G18)</f>
        <v>Es útil metodológicamente porque muestra cómo DEA permite comparar universidades mediante una frontera de eficiencia, distinguiendo instituciones eficientes de aquellas con posibilidades de mejora relativa.</v>
      </c>
      <c r="E18" s="5" t="s">
        <v>258</v>
      </c>
      <c r="F18" s="5" t="s">
        <v>303</v>
      </c>
      <c r="G18" s="5" t="s">
        <v>304</v>
      </c>
    </row>
    <row r="19" spans="1:7" ht="114" x14ac:dyDescent="0.25">
      <c r="A19" s="6" t="str">
        <f>Referencias!A19</f>
        <v>R18</v>
      </c>
      <c r="B19" s="6" t="str">
        <f>IF(Referencias!D19="","",Referencias!D19)</f>
        <v>A</v>
      </c>
      <c r="C19" s="6" t="str">
        <f>IF(Referencias!E19="","",Referencias!E19)</f>
        <v>Johnes, J. (2006). Data envelopment analysis and its application to the measurement of efficiency in higher education</v>
      </c>
      <c r="D19" s="6" t="str">
        <f>IF(Referencias!G19="","",Referencias!G19)</f>
        <v>Es relevante para justificar comparaciones entre instituciones públicas y otros tipos de universidades y para discutir cómo las características institucionales pueden asociarse con diferencias en eficiencia DEA.</v>
      </c>
      <c r="E19" s="5" t="s">
        <v>240</v>
      </c>
      <c r="F19" s="5" t="s">
        <v>305</v>
      </c>
      <c r="G19" s="5" t="s">
        <v>306</v>
      </c>
    </row>
    <row r="20" spans="1:7" ht="114" x14ac:dyDescent="0.25">
      <c r="A20" s="6" t="str">
        <f>Referencias!A20</f>
        <v>R19</v>
      </c>
      <c r="B20" s="6" t="str">
        <f>IF(Referencias!D20="","",Referencias!D20)</f>
        <v>A</v>
      </c>
      <c r="C20" s="6" t="str">
        <f>IF(Referencias!E20="","",Referencias!E20)</f>
        <v>Agasisti, T., Dal Bianco, A., Griffini, M., &amp; Valenti, R. (2016). The public-private efficiency gap: An empirical analysis of Italian universities</v>
      </c>
      <c r="D20" s="6" t="str">
        <f>IF(Referencias!G20="","",Referencias!G20)</f>
        <v>Es directamente pertinente para Colombia: utiliza DEA para estudiar diferencias de eficiencia entre instituciones de educación superior y permite sustentar la selección de insumos y productos educativos en un contexto colombiano.</v>
      </c>
      <c r="E20" s="5" t="s">
        <v>258</v>
      </c>
      <c r="F20" s="5" t="s">
        <v>307</v>
      </c>
      <c r="G20" s="5" t="s">
        <v>308</v>
      </c>
    </row>
    <row r="21" spans="1:7" ht="128.25" x14ac:dyDescent="0.25">
      <c r="A21" s="6" t="str">
        <f>Referencias!A21</f>
        <v>R20</v>
      </c>
      <c r="B21" s="6" t="str">
        <f>IF(Referencias!D21="","",Referencias!D21)</f>
        <v>A</v>
      </c>
      <c r="C21" s="6" t="str">
        <f>IF(Referencias!E21="","",Referencias!E21)</f>
        <v>Ramanathan, R. (2003). An Introduction to Data Envelopment Analysis: A Tool for Performance Measurement</v>
      </c>
      <c r="D21" s="6" t="str">
        <f>IF(Referencias!G21="","",Referencias!G21)</f>
        <v>Aunque no es específico de universidades latinoamericanas, proporciona la base metodológica para CCR/BCC, orientación input/output, eficiencia técnica y construcción de la frontera DEA, conceptos necesarios para fundamentar el modelo de tu consultoría.</v>
      </c>
      <c r="E21" s="5" t="s">
        <v>245</v>
      </c>
      <c r="F21" s="5" t="s">
        <v>309</v>
      </c>
      <c r="G21" s="5" t="s">
        <v>310</v>
      </c>
    </row>
    <row r="22" spans="1:7" ht="128.25" x14ac:dyDescent="0.25">
      <c r="A22" s="6" t="str">
        <f>Referencias!A22</f>
        <v>R21</v>
      </c>
      <c r="B22" s="6" t="str">
        <f>IF(Referencias!D22="","",Referencias!D22)</f>
        <v>B</v>
      </c>
      <c r="C22" s="6" t="str">
        <f>IF(Referencias!E22="","",Referencias!E22)</f>
        <v>Lina P. Navas, Felipe Montes, Sepideh Abolghasem, Ricardo Salas, M. Toloo, R. Zarama (2020) Colombian higher education institutions evaluation</v>
      </c>
      <c r="D22" s="6" t="str">
        <f>IF(Referencias!G22="","",Referencias!G22)</f>
        <v>Propone una extensión de DEA de eficiencia cruzada para evaluar IES colombianas con metas múltiples, mostrando que unas instituciones son más eficientes en docencia o empleabilidad y otras en investigación</v>
      </c>
      <c r="E22" s="5" t="s">
        <v>240</v>
      </c>
      <c r="F22" s="5" t="s">
        <v>311</v>
      </c>
      <c r="G22" s="5" t="s">
        <v>312</v>
      </c>
    </row>
    <row r="23" spans="1:7" ht="99.75" x14ac:dyDescent="0.25">
      <c r="A23" s="6" t="str">
        <f>Referencias!A23</f>
        <v>R22</v>
      </c>
      <c r="B23" s="6" t="str">
        <f>IF(Referencias!D23="","",Referencias!D23)</f>
        <v>B</v>
      </c>
      <c r="C23" s="6" t="str">
        <f>IF(Referencias!E23="","",Referencias!E23)</f>
        <v>Delimiro Visbal-Cadavid, M. Martínez-Gómez, F. Guijarro (2017) Assessing the Efficiency of Public Universities through DEA. A Case Study</v>
      </c>
      <c r="D23" s="6" t="str">
        <f>IF(Referencias!G23="","",Referencias!G23)</f>
        <v xml:space="preserve">	Evalúa 32 universidades públicas colombianas con modelos CCR, BCC y SBM orientados al output, desagregando ineficiencia técnica, de escala y de mezcla, y encuentra a Tolima, Caldas y UNAD entre las de mejor desempeño.</v>
      </c>
      <c r="E23" s="5" t="s">
        <v>240</v>
      </c>
      <c r="F23" s="5" t="s">
        <v>313</v>
      </c>
      <c r="G23" s="5" t="s">
        <v>314</v>
      </c>
    </row>
    <row r="24" spans="1:7" ht="99.75" x14ac:dyDescent="0.25">
      <c r="A24" s="6" t="str">
        <f>Referencias!A24</f>
        <v>R23</v>
      </c>
      <c r="B24" s="6" t="str">
        <f>IF(Referencias!D24="","",Referencias!D24)</f>
        <v>B</v>
      </c>
      <c r="C24" s="6" t="str">
        <f>IF(Referencias!E24="","",Referencias!E24)</f>
        <v>Jorge Moreno-Gómez, Jonathan Calleja-Blanco, Gloria Moreno-Gómez (2019) Measuring the efficiency of the Colombian higher education system: a two-stage approach</v>
      </c>
      <c r="D24" s="6" t="str">
        <f>IF(Referencias!G24="","",Referencias!G24)</f>
        <v>Aplica un DEA en dos etapas a 78 universidades colombianas entre 2015 y 2017 y encuentra que las públicas superan a las privadas en eficiencia docente e investigativa, mientras la proporción de profesores con PhD mejora todas las dimensiones de eficiencia</v>
      </c>
      <c r="E24" s="5" t="s">
        <v>240</v>
      </c>
      <c r="F24" s="5" t="s">
        <v>315</v>
      </c>
      <c r="G24" s="5" t="s">
        <v>316</v>
      </c>
    </row>
    <row r="25" spans="1:7" ht="142.5" x14ac:dyDescent="0.25">
      <c r="A25" s="6" t="str">
        <f>Referencias!A25</f>
        <v>R24</v>
      </c>
      <c r="B25" s="6" t="str">
        <f>IF(Referencias!D25="","",Referencias!D25)</f>
        <v>B</v>
      </c>
      <c r="C25" s="6" t="str">
        <f>IF(Referencias!E25="","",Referencias!E25)</f>
        <v>M. Sagarra, T. Agasisti (2017) Exploring the efficiency of Mexican universities: Integrating Data Envelopment Analysis and Multidimensional Scaling</v>
      </c>
      <c r="D25" s="6" t="str">
        <f>IF(Referencias!G25="","",Referencias!G25)</f>
        <v>Analiza 55 universidades mexicanas entre 2007 y 2012 con 21 modelos DEA y escalamiento multidimensional, para distinguir si los cambios de eficiencia provienen de docencia, investigación o ambas dimensiones</v>
      </c>
      <c r="E25" s="5" t="s">
        <v>240</v>
      </c>
      <c r="F25" s="5" t="s">
        <v>317</v>
      </c>
      <c r="G25" s="5" t="s">
        <v>283</v>
      </c>
    </row>
    <row r="26" spans="1:7" ht="85.5" x14ac:dyDescent="0.25">
      <c r="A26" s="6" t="str">
        <f>Referencias!A26</f>
        <v>R25</v>
      </c>
      <c r="B26" s="6" t="str">
        <f>IF(Referencias!D26="","",Referencias!D26)</f>
        <v>B</v>
      </c>
      <c r="C26" s="6" t="str">
        <f>IF(Referencias!E26="","",Referencias!E26)</f>
        <v>Rafael Santos Tavares, L. Angulo-Meza, A. P. Sant'Anna (2021) A proposed multistage evaluation approach for Higher Education Institutions based on network Data envelopment analysis: A Brazilian experience</v>
      </c>
      <c r="D26" s="6" t="str">
        <f>IF(Referencias!G26="","",Referencias!G26)</f>
        <v>Desarrolla un enfoque de Network DEA en tres etapas aplicado a 45 universidades federales brasileñas, permitiendo medir eficiencia financiera, de pregrado y de posgrado con una visión más integral de los procesos universitarios</v>
      </c>
      <c r="E26" s="5" t="s">
        <v>240</v>
      </c>
      <c r="F26" s="5" t="s">
        <v>318</v>
      </c>
      <c r="G26" s="5" t="s">
        <v>319</v>
      </c>
    </row>
    <row r="27" spans="1:7" ht="128.25" x14ac:dyDescent="0.25">
      <c r="A27" s="6" t="str">
        <f>Referencias!A27</f>
        <v>R26</v>
      </c>
      <c r="B27" s="6" t="str">
        <f>IF(Referencias!D27="","",Referencias!D27)</f>
        <v>C</v>
      </c>
      <c r="C27" s="6" t="str">
        <f>IF(Referencias!E27="","",Referencias!E27)</f>
        <v>Francisco Javier Maza Ávila, Juan Carlos Vergara Schmalbach y Raúl Román Romero (2017) EFICIENCIA Y PRODUCTIVIDAD EN LA COBERTURA DE LAS UNIVERSIDADES PÚBLICAS COLOMBIANAS</v>
      </c>
      <c r="D27" s="6" t="str">
        <f>IF(Referencias!G27="","",Referencias!G27)</f>
        <v>Analiza la eficiencia técnica (DEA BCC) y los cambios en la productividad (índice de Malmquist) en la cobertura de 32 universidades públicas colombianas del Sistema Universitario Estatal (2003-2012), encontrando una eficiencia promedio superior al 70% y un crecimiento de la productividad del 9%, aunque con notables diferencias entre la región Andina y la región Caribe</v>
      </c>
      <c r="E27" s="5" t="s">
        <v>240</v>
      </c>
      <c r="F27" s="5" t="s">
        <v>320</v>
      </c>
      <c r="G27" s="5" t="s">
        <v>321</v>
      </c>
    </row>
    <row r="28" spans="1:7" ht="156.75" x14ac:dyDescent="0.25">
      <c r="A28" s="6" t="str">
        <f>Referencias!A28</f>
        <v>R27</v>
      </c>
      <c r="B28" s="6" t="str">
        <f>IF(Referencias!D28="","",Referencias!D28)</f>
        <v>C</v>
      </c>
      <c r="C28" s="6" t="str">
        <f>IF(Referencias!E28="","",Referencias!E28)</f>
        <v>Juan Morales-Piñero, Diana Niño-Muñoz y Diana Lesmes-Cardenas (2022) Gestión Pública o Privada de las Universidades: ¿Cuál es la Opción más Eficiente para una Política Pública en Educación Superior en Colombia?</v>
      </c>
      <c r="D28" s="6" t="str">
        <f>IF(Referencias!G28="","",Referencias!G28)</f>
        <v>Compara la eficiencia de 122 universidades públicas y privadas colombianas mediante una metafrontera DEA con *bad outputs* (incorporando el desempleo formal de sus graduados), concluyendo que no hay diferencias globales estadísticamente significativas en la eficiencia de gestión entre ambos sectores, aunque las universidades públicas lideran la producción científica y muestran mayor eficiencia en entornos urbanos de alta competencia</v>
      </c>
      <c r="E28" s="5" t="s">
        <v>240</v>
      </c>
      <c r="F28" s="5" t="s">
        <v>322</v>
      </c>
      <c r="G28" s="5" t="s">
        <v>323</v>
      </c>
    </row>
    <row r="29" spans="1:7" ht="156.75" x14ac:dyDescent="0.25">
      <c r="A29" s="6" t="str">
        <f>Referencias!A29</f>
        <v>R28</v>
      </c>
      <c r="B29" s="6" t="str">
        <f>IF(Referencias!D29="","",Referencias!D29)</f>
        <v>C</v>
      </c>
      <c r="C29" s="6" t="str">
        <f>IF(Referencias!E29="","",Referencias!E29)</f>
        <v>Diego Visbal-Cadavid, Adel Mendoza y Eduardo Causado Rodríguez (2016) Eficiencia en las instituciones de educación superior públicas colombianas: una aplicación del análisis envolvente de datos</v>
      </c>
      <c r="D29" s="6" t="str">
        <f>IF(Referencias!G29="","",Referencias!G29)</f>
        <v>Aplica la metodología DEA para medir la eficiencia relativa de las instituciones públicas de educación superior en Colombia al transformar sus recursos institucionales e insumos en productos de docencia e investigación</v>
      </c>
      <c r="E29" s="5" t="s">
        <v>240</v>
      </c>
      <c r="F29" s="5" t="s">
        <v>324</v>
      </c>
      <c r="G29" s="5" t="s">
        <v>325</v>
      </c>
    </row>
    <row r="30" spans="1:7" ht="99.75" x14ac:dyDescent="0.25">
      <c r="A30" s="6" t="str">
        <f>Referencias!A30</f>
        <v>R29</v>
      </c>
      <c r="B30" s="6" t="str">
        <f>IF(Referencias!D30="","",Referencias!D30)</f>
        <v>C</v>
      </c>
      <c r="C30" s="6" t="str">
        <f>IF(Referencias!E30="","",Referencias!E30)</f>
        <v>Zulima Ramírez-Gutiérrez, Mercedes Barrachina-Palanca y Vicente Ripoll-Feliu (2020) Efficiency in higher education. Empirical study in public universities of Colombia and Spain[18]</v>
      </c>
      <c r="D30" s="6" t="str">
        <f>IF(Referencias!G30="","",Referencias!G30)</f>
        <v>Realiza una evaluación empírica mediante Análisis Envolvente de Datos para comparar el desempeño e identificar niveles de eficiencia técnica e institucional entre las universidades públicas de Colombia y España</v>
      </c>
      <c r="E30" s="5" t="s">
        <v>240</v>
      </c>
      <c r="F30" s="5" t="s">
        <v>326</v>
      </c>
      <c r="G30" s="5" t="s">
        <v>327</v>
      </c>
    </row>
    <row r="31" spans="1:7" ht="71.25" x14ac:dyDescent="0.25">
      <c r="A31" s="6" t="str">
        <f>Referencias!A31</f>
        <v>R30</v>
      </c>
      <c r="B31" s="6" t="str">
        <f>IF(Referencias!D31="","",Referencias!D31)</f>
        <v>C</v>
      </c>
      <c r="C31" s="6" t="str">
        <f>IF(Referencias!E31="","",Referencias!E31)</f>
        <v>Alejandro Altamirano-Corro y Rodrigo Peniche-Vera (2014) Measuring the institutional efficiency using DEA and AHP: The case of a Mexican university</v>
      </c>
      <c r="D31" s="6" t="str">
        <f>IF(Referencias!G31="","",Referencias!G31)</f>
        <v>Combina el Análisis Envolvente de Datos con el Proceso de Análisis Jerárquico (AHP) para evaluar la eficiencia institucional y la gestión con múltiples entradas y salidas en el ámbito universitario público en México</v>
      </c>
      <c r="E31" s="5" t="s">
        <v>240</v>
      </c>
      <c r="F31" s="5" t="s">
        <v>328</v>
      </c>
      <c r="G31" s="5" t="s">
        <v>291</v>
      </c>
    </row>
    <row r="32" spans="1:7" ht="85.5" x14ac:dyDescent="0.25">
      <c r="A32" s="6" t="str">
        <f>Referencias!A32</f>
        <v>R31</v>
      </c>
      <c r="B32" s="6" t="str">
        <f>IF(Referencias!D32="","",Referencias!D32)</f>
        <v>A</v>
      </c>
      <c r="C32" s="6" t="str">
        <f>IF(Referencias!E32="","",Referencias!E32)</f>
        <v>Zuluaga, R., Delahoz-Domínguez, E. J., &amp; Ojeda, H. (2020). Eficiencia académica estudiantil: un enfoque de análisis de componentes principales y análisis envolvente de datos.</v>
      </c>
      <c r="D32" s="6" t="str">
        <f>IF(Referencias!G32="","",Referencias!G32)</f>
        <v>Propone combinar PCA y DEA para medir la eficiencia académica a partir de los resultados de Saber Pro 2018 y encuentra que solo el 16,67 % de las unidades analizadas fueron eficientes, identificando competencias específicas susceptibles de mejora.</v>
      </c>
      <c r="E32" s="5" t="s">
        <v>240</v>
      </c>
      <c r="F32" s="5" t="s">
        <v>328</v>
      </c>
      <c r="G32" s="5" t="s">
        <v>291</v>
      </c>
    </row>
    <row r="33" spans="1:7" ht="85.5" x14ac:dyDescent="0.25">
      <c r="A33" s="6" t="str">
        <f>Referencias!A33</f>
        <v>R32</v>
      </c>
      <c r="B33" s="6" t="str">
        <f>IF(Referencias!D33="","",Referencias!D33)</f>
        <v>A</v>
      </c>
      <c r="C33" s="6" t="str">
        <f>IF(Referencias!E33="","",Referencias!E33)</f>
        <v>De La Hoz, E., Zuluaga, R., &amp; Mendoza, A. (2021). Assessing and Classification of Academic Efficiency in Engineering Teaching Programs.</v>
      </c>
      <c r="D33" s="6" t="str">
        <f>IF(Referencias!G33="","",Referencias!G33)</f>
        <v>Es muy pertinente para tu problema porque define explícitamente los Saber 11 como inputs y los Saber Pro como outputs del DEA, aplicándolo a 265 programas de ingeniería y resaltando la importancia de comparar instituciones con características similares.</v>
      </c>
      <c r="E33" s="5" t="s">
        <v>240</v>
      </c>
      <c r="F33" s="5" t="s">
        <v>328</v>
      </c>
      <c r="G33" s="5" t="s">
        <v>291</v>
      </c>
    </row>
    <row r="34" spans="1:7" ht="99.75" x14ac:dyDescent="0.25">
      <c r="A34" s="6" t="str">
        <f>Referencias!A34</f>
        <v>R33</v>
      </c>
      <c r="B34" s="6" t="str">
        <f>IF(Referencias!D34="","",Referencias!D34)</f>
        <v>A</v>
      </c>
      <c r="C34" s="6" t="str">
        <f>IF(Referencias!E34="","",Referencias!E34)</f>
        <v>Zuluaga, R., Camelo-Guarín, A., &amp; De La Hoz, E. (2023). Assessing the Relative Impact of Colombian Higher Education Institutions Using Fuzzy Data Envelopment Analysis (Fuzzy-DEA) in State Evaluations.</v>
      </c>
      <c r="D34" s="6" t="str">
        <f>IF(Referencias!G34="","",Referencias!G34)</f>
        <v>Aplica Fuzzy-DEA a 92 instituciones y 4.976 estudiantes de Ingeniería Industrial, usando Saber 11 como inputs y Saber Pro como outputs, y muestra cómo la frontera de eficiencia puede interpretarse como una ruta de incremento de resultados entre ambas pruebas.</v>
      </c>
      <c r="E34" s="5" t="s">
        <v>240</v>
      </c>
      <c r="F34" s="5" t="s">
        <v>328</v>
      </c>
      <c r="G34" s="5" t="s">
        <v>291</v>
      </c>
    </row>
    <row r="35" spans="1:7" ht="114" x14ac:dyDescent="0.25">
      <c r="A35" s="6" t="str">
        <f>Referencias!A35</f>
        <v>R34</v>
      </c>
      <c r="B35" s="6" t="str">
        <f>IF(Referencias!D35="","",Referencias!D35)</f>
        <v>A</v>
      </c>
      <c r="C35" s="6" t="str">
        <f>IF(Referencias!E35="","",Referencias!E35)</f>
        <v>Mendoza-Mendoza, A., De La Hoz-Domínguez, E. J., &amp; Visbal-Cadavid, D. (2023). Classification of industrial engineering programs in Colombia based on state tests.</v>
      </c>
      <c r="D35" s="6" t="str">
        <f>IF(Referencias!G35="","",Referencias!G35)</f>
        <v>Utiliza un DEA-BCC orientado a outputs, con resultados de Saber 11 como entradas y Saber Pro como salidas, para 5.318 estudiantes de 93 IES; las eficiencias obtenidas permiten clasificar los programas en tres grupos y muestran directamente la utilidad de tratar el resultado de egreso como producto educativo.</v>
      </c>
      <c r="E35" s="5" t="s">
        <v>240</v>
      </c>
      <c r="F35" s="5" t="s">
        <v>328</v>
      </c>
      <c r="G35" s="5" t="s">
        <v>291</v>
      </c>
    </row>
    <row r="36" spans="1:7" ht="99.75" x14ac:dyDescent="0.25">
      <c r="A36" s="6" t="str">
        <f>Referencias!A36</f>
        <v>R35</v>
      </c>
      <c r="B36" s="6" t="str">
        <f>IF(Referencias!D36="","",Referencias!D36)</f>
        <v>A</v>
      </c>
      <c r="C36" s="6" t="str">
        <f>IF(Referencias!E36="","",Referencias!E36)</f>
        <v>Marques, F. C., Davoglio, G. R., Gabardo da Camara, M. R., do Nascimento, S. P., &amp; Ferreira, C. R. (2021). Efficiency Comparison Between Public and Private Higher Education Institutions in the Academic Performance of Economics Senior Students.</v>
      </c>
      <c r="D36" s="6" t="str">
        <f>IF(Referencias!G36="","",Referencias!G36)</f>
        <v>Para ENADE, desarrolla una DEA descompuesta en una componente asociada al desempeño del estudiante y otra a la eficiencia de la IES, utilizando los resultados de estudiantes de Economía de 2012 y 2015 y controlando además factores socioeconómicos.</v>
      </c>
      <c r="E36" s="5" t="s">
        <v>240</v>
      </c>
      <c r="F36" s="5" t="s">
        <v>328</v>
      </c>
      <c r="G36" s="5" t="s">
        <v>291</v>
      </c>
    </row>
    <row r="37" spans="1:7" ht="71.25" x14ac:dyDescent="0.25">
      <c r="A37" s="6" t="str">
        <f>Referencias!A37</f>
        <v>R36</v>
      </c>
      <c r="B37" s="6" t="str">
        <f>IF(Referencias!D37="","",Referencias!D37)</f>
        <v>B</v>
      </c>
      <c r="C37" s="6" t="str">
        <f>IF(Referencias!E37="","",Referencias!E37)</f>
        <v>Zuluaga-Ortiz, R., Delahoz-Domínguez, E. J., &amp; Camelo-Guarín, A. (2022). Academic efficiency of engineering university degrees and its driving factors. A PLS-DEA approach. Journal of International Studies.</v>
      </c>
      <c r="D37" s="6" t="str">
        <f>IF(Referencias!G37="","",Referencias!G37)</f>
        <v>Usa explícitamente los resultados de Saber Pro como outputs y los de Saber 11 como inputs para modelar la transformación educativa en programas de ingeniería en Colombia.</v>
      </c>
      <c r="E37" s="5" t="s">
        <v>240</v>
      </c>
      <c r="F37" s="5" t="s">
        <v>328</v>
      </c>
      <c r="G37" s="5" t="s">
        <v>291</v>
      </c>
    </row>
    <row r="38" spans="1:7" ht="99.75" x14ac:dyDescent="0.25">
      <c r="A38" s="6" t="str">
        <f>Referencias!A38</f>
        <v>R37</v>
      </c>
      <c r="B38" s="6" t="str">
        <f>IF(Referencias!D38="","",Referencias!D38)</f>
        <v>B</v>
      </c>
      <c r="C38" s="6" t="str">
        <f>IF(Referencias!E38="","",Referencias!E38)</f>
        <v>Visbal-Cadavid, D., Martínez-Gómez, M., &amp; Guijarro, F. (2017). Assessing the Efficiency of Public Universities through DEA. A Case Study. Sustainability.</v>
      </c>
      <c r="D38" s="6" t="str">
        <f>IF(Referencias!G38="","",Referencias!G38)</f>
        <v>Incluye Saber Pro Top Quintile como variable de producto en un DEA orientado a outputs para universidades públicas colombianas, y muestra que casi todas las IES ineficientes requerían mejorar ese resultado para alcanzar la frontera.</v>
      </c>
      <c r="E38" s="5" t="s">
        <v>240</v>
      </c>
      <c r="F38" s="5" t="s">
        <v>329</v>
      </c>
      <c r="G38" s="5" t="s">
        <v>330</v>
      </c>
    </row>
    <row r="39" spans="1:7" ht="99.75" x14ac:dyDescent="0.25">
      <c r="A39" s="6" t="str">
        <f>Referencias!A39</f>
        <v>R38</v>
      </c>
      <c r="B39" s="6" t="str">
        <f>IF(Referencias!D39="","",Referencias!D39)</f>
        <v>B</v>
      </c>
      <c r="C39" s="6" t="str">
        <f>IF(Referencias!E39="","",Referencias!E39)</f>
        <v>Tavares, R. S., Angulo-Meza, L., &amp; Sant'Anna, A. P. (2021). A proposed multistage evaluation approach for Higher Education Institutions based on network Data envelopment analysis: A Brazilian experience. Evaluation and Program Planning.</v>
      </c>
      <c r="D39" s="6" t="str">
        <f>IF(Referencias!G39="","",Referencias!G39)</f>
        <v>Propone un Network DEA para 45 universidades federales brasileñas con una etapa de pregrado, consistente con el uso de indicadores de desempeño formativo tipo ENADE dentro de una evaluación multietapa, aunque el extracto no nombra la variable exacta.</v>
      </c>
      <c r="E39" s="5" t="s">
        <v>240</v>
      </c>
      <c r="F39" s="5" t="s">
        <v>331</v>
      </c>
      <c r="G39" s="5" t="s">
        <v>332</v>
      </c>
    </row>
    <row r="40" spans="1:7" ht="128.25" x14ac:dyDescent="0.25">
      <c r="A40" s="6" t="str">
        <f>Referencias!A40</f>
        <v>R39</v>
      </c>
      <c r="B40" s="6" t="str">
        <f>IF(Referencias!D40="","",Referencias!D40)</f>
        <v>B</v>
      </c>
      <c r="C40" s="6" t="str">
        <f>IF(Referencias!E40="","",Referencias!E40)</f>
        <v>Moreno-Gómez, J., Calleja-Blanco, J., &amp; Moreno-Gómez, G. (2019). Measuring the efficiency of the Colombian higher education system: a two-stage approach. International Journal of Educational Management.</v>
      </c>
      <c r="D40" s="6" t="str">
        <f>IF(Referencias!G40="","",Referencias!G40)</f>
        <v>Es un antecedente metodológico útil de DEA en universidades colombianas y de análisis en dos etapas, aunque el extracto disponible no confirma que use Saber Pro como output específico.</v>
      </c>
      <c r="E40" s="5" t="s">
        <v>245</v>
      </c>
      <c r="F40" s="5" t="s">
        <v>333</v>
      </c>
      <c r="G40" s="5" t="s">
        <v>334</v>
      </c>
    </row>
    <row r="41" spans="1:7" ht="114" x14ac:dyDescent="0.25">
      <c r="A41" s="6" t="str">
        <f>Referencias!A41</f>
        <v>R40</v>
      </c>
      <c r="B41" s="6" t="str">
        <f>IF(Referencias!D41="","",Referencias!D41)</f>
        <v>B</v>
      </c>
      <c r="C41" s="6" t="str">
        <f>IF(Referencias!E41="","",Referencias!E41)</f>
        <v>De Witte, K., &amp; López-Torres, L. (2017). Efficiency in education: a review of literature and a way forward. European Journal of Operational Research, 259(2), 432-452.</v>
      </c>
      <c r="D41" s="6" t="str">
        <f>IF(Referencias!G41="","",Referencias!G41)</f>
        <v>Constituye la revisión sistemática definitiva sobre DEA en educación, justificando metodológicamente por qué las calificaciones de pruebas estandarizadas de egreso deben priorizarse como variable de producto (output) para capturar la calidad del aprendizaje, en lugar de utilizar únicamente tasas de graduación.</v>
      </c>
      <c r="E41" s="5" t="s">
        <v>240</v>
      </c>
      <c r="F41" s="5" t="s">
        <v>328</v>
      </c>
      <c r="G41" s="5" t="s">
        <v>291</v>
      </c>
    </row>
    <row r="42" spans="1:7" ht="71.25" x14ac:dyDescent="0.25">
      <c r="A42" s="6" t="str">
        <f>Referencias!A42</f>
        <v>R41</v>
      </c>
      <c r="B42" s="6" t="str">
        <f>IF(Referencias!D42="","",Referencias!D42)</f>
        <v>C</v>
      </c>
      <c r="C42" s="6" t="str">
        <f>IF(Referencias!E42="","",Referencias!E42)</f>
        <v>Melo-Becerra, L. A., Ramos-Forero, J. E., &amp; Hernández-Santamaría, P. O. (2017). La educación superior en Colombia: situación actual y análisis de eficiencia. Desarrollo y Sociedad, (78), 59-111.</v>
      </c>
      <c r="D42" s="6" t="str">
        <f>IF(Referencias!G42="","",Referencias!G42)</f>
        <v>Incorpora explícitamente el desempeño en las pruebas Saber Pro como variable de producto (output) en un modelo DEA para evaluar la calidad educativa y la eficiencia técnica de las universidades colombianas.</v>
      </c>
      <c r="E42" s="5" t="s">
        <v>240</v>
      </c>
      <c r="F42" s="5" t="s">
        <v>335</v>
      </c>
      <c r="G42" s="5" t="s">
        <v>336</v>
      </c>
    </row>
    <row r="43" spans="1:7" ht="71.25" x14ac:dyDescent="0.25">
      <c r="A43" s="6" t="str">
        <f>Referencias!A43</f>
        <v>R42</v>
      </c>
      <c r="B43" s="6" t="str">
        <f>IF(Referencias!D43="","",Referencias!D43)</f>
        <v>C</v>
      </c>
      <c r="C43" s="6" t="str">
        <f>IF(Referencias!E43="","",Referencias!E43)</f>
        <v>Zoghbi, A. C., Rocha, F., &amp; Mattos, E. (2013). Education production efficiency: Evidence from Brazilian universities. Economic Modelling, 31, 94-103.</v>
      </c>
      <c r="D43" s="6" t="str">
        <f>IF(Referencias!G43="","",Referencias!G43)</f>
        <v>Utiliza la diferencia de puntajes entre estudiantes de primer y último año en el ENADE brasileño como proxy del valor agregado y producto educativo dentro de un análisis de eficiencia universitaria.</v>
      </c>
      <c r="E43" s="5" t="s">
        <v>240</v>
      </c>
      <c r="F43" s="5" t="s">
        <v>328</v>
      </c>
      <c r="G43" s="5" t="s">
        <v>291</v>
      </c>
    </row>
    <row r="44" spans="1:7" ht="85.5" x14ac:dyDescent="0.25">
      <c r="A44" s="6" t="str">
        <f>Referencias!A44</f>
        <v>R43</v>
      </c>
      <c r="B44" s="6" t="str">
        <f>IF(Referencias!D44="","",Referencias!D44)</f>
        <v>C</v>
      </c>
      <c r="C44" s="6" t="str">
        <f>IF(Referencias!E44="","",Referencias!E44)</f>
        <v>Visbal-Cadavid, D., Mendoza-Mendoza, A., &amp; Causado-Rodríguez, E. (2016). Eficiencia en las instituciones de educación superior públicas colombianas: una aplicación del análisis envolvente de datos. Civilizar. Ciencias Sociales y Humanas, 16(30), 105-118.</v>
      </c>
      <c r="D44" s="6" t="str">
        <f>IF(Referencias!G44="","",Referencias!G44)</f>
        <v>Operacionaliza la calidad institucional en un modelo DEA orientado a salidas utilizando como output el número de estudiantes con desempeño en el quintil superior de las pruebas Saber Pro.</v>
      </c>
      <c r="E44" s="5" t="s">
        <v>258</v>
      </c>
      <c r="F44" s="5" t="s">
        <v>337</v>
      </c>
      <c r="G44" s="5" t="s">
        <v>338</v>
      </c>
    </row>
    <row r="45" spans="1:7" ht="85.5" x14ac:dyDescent="0.25">
      <c r="A45" s="6" t="str">
        <f>Referencias!A45</f>
        <v>R44</v>
      </c>
      <c r="B45" s="6" t="str">
        <f>IF(Referencias!D45="","",Referencias!D45)</f>
        <v>C</v>
      </c>
      <c r="C45" s="6" t="str">
        <f>IF(Referencias!E45="","",Referencias!E45)</f>
        <v>Machado, R. N., &amp; Viana, J. C. (2014). Eficiência dos cursos de graduação no Brasil: Uma análise utilizando o Enade. Revista Brasileira de Estudos Pedagógicos, 95(241), 606-625.</v>
      </c>
      <c r="D45" s="6" t="str">
        <f>IF(Referencias!G45="","",Referencias!G45)</f>
        <v>Demuestra metodológicamente cómo los resultados brutos de la prueba estandarizada ENADE pueden ser utilizados como variable de salida directa en modelos DEA para rankear la eficiencia de programas de pregrado.</v>
      </c>
      <c r="E45" s="5" t="s">
        <v>258</v>
      </c>
      <c r="F45" s="5" t="s">
        <v>337</v>
      </c>
      <c r="G45" s="5" t="s">
        <v>338</v>
      </c>
    </row>
    <row r="46" spans="1:7" ht="71.25" x14ac:dyDescent="0.25">
      <c r="A46" s="6" t="str">
        <f>Referencias!A46</f>
        <v>R45</v>
      </c>
      <c r="B46" s="6" t="str">
        <f>IF(Referencias!D46="","",Referencias!D46)</f>
        <v>C</v>
      </c>
      <c r="C46" s="6" t="str">
        <f>IF(Referencias!E46="","",Referencias!E46)</f>
        <v>Visbal-Cadavid, D., Martínez-Gómez, M., &amp; Guijarro, F. (2017). Assessing the Efficiency of Public Universities through DEA. A Case Study. Sustainability, 9(8), 1416.</v>
      </c>
      <c r="D46" s="6" t="str">
        <f>IF(Referencias!G46="","",Referencias!G46)</f>
        <v>Evalúa 32 universidades públicas y consolida la metodología de medir la calidad de los egresados introduciendo en la frontera DEA el número ponderado de estudiantes en el quintil superior de Saber Pro.</v>
      </c>
      <c r="E46" s="5" t="s">
        <v>240</v>
      </c>
      <c r="F46" s="5" t="s">
        <v>339</v>
      </c>
      <c r="G46" s="5" t="s">
        <v>291</v>
      </c>
    </row>
    <row r="47" spans="1:7" x14ac:dyDescent="0.25">
      <c r="A47" s="6" t="str">
        <f>Referencias!A47</f>
        <v>R46</v>
      </c>
      <c r="B47" s="6" t="str">
        <f>IF(Referencias!D47="","",Referencias!D47)</f>
        <v/>
      </c>
      <c r="C47" s="6" t="str">
        <f>IF(Referencias!E47="","",Referencias!E47)</f>
        <v/>
      </c>
      <c r="D47" s="6" t="str">
        <f>IF(Referencias!G47="","",Referencias!G47)</f>
        <v/>
      </c>
    </row>
    <row r="48" spans="1:7" x14ac:dyDescent="0.25">
      <c r="A48" s="6" t="str">
        <f>Referencias!A48</f>
        <v>R47</v>
      </c>
      <c r="B48" s="6" t="str">
        <f>IF(Referencias!D48="","",Referencias!D48)</f>
        <v/>
      </c>
      <c r="C48" s="6" t="str">
        <f>IF(Referencias!E48="","",Referencias!E48)</f>
        <v/>
      </c>
      <c r="D48" s="6" t="str">
        <f>IF(Referencias!G48="","",Referencias!G48)</f>
        <v/>
      </c>
    </row>
    <row r="49" spans="1:4" x14ac:dyDescent="0.25">
      <c r="A49" s="6" t="str">
        <f>Referencias!A49</f>
        <v>R48</v>
      </c>
      <c r="B49" s="6" t="str">
        <f>IF(Referencias!D49="","",Referencias!D49)</f>
        <v/>
      </c>
      <c r="C49" s="6" t="str">
        <f>IF(Referencias!E49="","",Referencias!E49)</f>
        <v/>
      </c>
      <c r="D49" s="6" t="str">
        <f>IF(Referencias!G49="","",Referencias!G49)</f>
        <v/>
      </c>
    </row>
    <row r="50" spans="1:4" x14ac:dyDescent="0.25">
      <c r="A50" s="6" t="str">
        <f>Referencias!A50</f>
        <v>R49</v>
      </c>
      <c r="B50" s="6" t="str">
        <f>IF(Referencias!D50="","",Referencias!D50)</f>
        <v/>
      </c>
      <c r="C50" s="6" t="str">
        <f>IF(Referencias!E50="","",Referencias!E50)</f>
        <v/>
      </c>
      <c r="D50" s="6" t="str">
        <f>IF(Referencias!G50="","",Referencias!G50)</f>
        <v/>
      </c>
    </row>
    <row r="51" spans="1:4" x14ac:dyDescent="0.25">
      <c r="A51" s="6" t="str">
        <f>Referencias!A51</f>
        <v>R50</v>
      </c>
      <c r="B51" s="6" t="str">
        <f>IF(Referencias!D51="","",Referencias!D51)</f>
        <v/>
      </c>
      <c r="C51" s="6" t="str">
        <f>IF(Referencias!E51="","",Referencias!E51)</f>
        <v/>
      </c>
      <c r="D51" s="6" t="str">
        <f>IF(Referencias!G51="","",Referencias!G51)</f>
        <v/>
      </c>
    </row>
    <row r="52" spans="1:4" x14ac:dyDescent="0.25">
      <c r="A52" s="6" t="str">
        <f>Referencias!A52</f>
        <v>R51</v>
      </c>
      <c r="B52" s="6" t="str">
        <f>IF(Referencias!D52="","",Referencias!D52)</f>
        <v/>
      </c>
      <c r="C52" s="6" t="str">
        <f>IF(Referencias!E52="","",Referencias!E52)</f>
        <v/>
      </c>
      <c r="D52" s="6" t="str">
        <f>IF(Referencias!G52="","",Referencias!G52)</f>
        <v/>
      </c>
    </row>
    <row r="53" spans="1:4" x14ac:dyDescent="0.25">
      <c r="A53" s="6" t="str">
        <f>Referencias!A53</f>
        <v>R52</v>
      </c>
      <c r="B53" s="6" t="str">
        <f>IF(Referencias!D53="","",Referencias!D53)</f>
        <v/>
      </c>
      <c r="C53" s="6" t="str">
        <f>IF(Referencias!E53="","",Referencias!E53)</f>
        <v/>
      </c>
      <c r="D53" s="6" t="str">
        <f>IF(Referencias!G53="","",Referencias!G53)</f>
        <v/>
      </c>
    </row>
    <row r="54" spans="1:4" x14ac:dyDescent="0.25">
      <c r="A54" s="6" t="str">
        <f>Referencias!A54</f>
        <v>R53</v>
      </c>
      <c r="B54" s="6" t="str">
        <f>IF(Referencias!D54="","",Referencias!D54)</f>
        <v/>
      </c>
      <c r="C54" s="6" t="str">
        <f>IF(Referencias!E54="","",Referencias!E54)</f>
        <v/>
      </c>
      <c r="D54" s="6" t="str">
        <f>IF(Referencias!G54="","",Referencias!G54)</f>
        <v/>
      </c>
    </row>
    <row r="55" spans="1:4" x14ac:dyDescent="0.25">
      <c r="A55" s="6" t="str">
        <f>Referencias!A55</f>
        <v>R54</v>
      </c>
      <c r="B55" s="6" t="str">
        <f>IF(Referencias!D55="","",Referencias!D55)</f>
        <v/>
      </c>
      <c r="C55" s="6" t="str">
        <f>IF(Referencias!E55="","",Referencias!E55)</f>
        <v/>
      </c>
      <c r="D55" s="6" t="str">
        <f>IF(Referencias!G55="","",Referencias!G55)</f>
        <v/>
      </c>
    </row>
    <row r="56" spans="1:4" x14ac:dyDescent="0.25">
      <c r="A56" s="6" t="str">
        <f>Referencias!A56</f>
        <v>R55</v>
      </c>
      <c r="B56" s="6" t="str">
        <f>IF(Referencias!D56="","",Referencias!D56)</f>
        <v/>
      </c>
      <c r="C56" s="6" t="str">
        <f>IF(Referencias!E56="","",Referencias!E56)</f>
        <v/>
      </c>
      <c r="D56" s="6" t="str">
        <f>IF(Referencias!G56="","",Referencias!G56)</f>
        <v/>
      </c>
    </row>
    <row r="57" spans="1:4" x14ac:dyDescent="0.25">
      <c r="A57" s="6" t="str">
        <f>Referencias!A57</f>
        <v>R56</v>
      </c>
      <c r="B57" s="6" t="str">
        <f>IF(Referencias!D57="","",Referencias!D57)</f>
        <v/>
      </c>
      <c r="C57" s="6" t="str">
        <f>IF(Referencias!E57="","",Referencias!E57)</f>
        <v/>
      </c>
      <c r="D57" s="6" t="str">
        <f>IF(Referencias!G57="","",Referencias!G57)</f>
        <v/>
      </c>
    </row>
    <row r="58" spans="1:4" x14ac:dyDescent="0.25">
      <c r="A58" s="6" t="str">
        <f>Referencias!A58</f>
        <v>R57</v>
      </c>
      <c r="B58" s="6" t="str">
        <f>IF(Referencias!D58="","",Referencias!D58)</f>
        <v/>
      </c>
      <c r="C58" s="6" t="str">
        <f>IF(Referencias!E58="","",Referencias!E58)</f>
        <v/>
      </c>
      <c r="D58" s="6" t="str">
        <f>IF(Referencias!G58="","",Referencias!G58)</f>
        <v/>
      </c>
    </row>
    <row r="59" spans="1:4" x14ac:dyDescent="0.25">
      <c r="A59" s="6" t="str">
        <f>Referencias!A59</f>
        <v>R58</v>
      </c>
      <c r="B59" s="6" t="str">
        <f>IF(Referencias!D59="","",Referencias!D59)</f>
        <v/>
      </c>
      <c r="C59" s="6" t="str">
        <f>IF(Referencias!E59="","",Referencias!E59)</f>
        <v/>
      </c>
      <c r="D59" s="6" t="str">
        <f>IF(Referencias!G59="","",Referencias!G59)</f>
        <v/>
      </c>
    </row>
    <row r="60" spans="1:4" x14ac:dyDescent="0.25">
      <c r="A60" s="6" t="str">
        <f>Referencias!A60</f>
        <v>R59</v>
      </c>
      <c r="B60" s="6" t="str">
        <f>IF(Referencias!D60="","",Referencias!D60)</f>
        <v/>
      </c>
      <c r="C60" s="6" t="str">
        <f>IF(Referencias!E60="","",Referencias!E60)</f>
        <v/>
      </c>
      <c r="D60" s="6" t="str">
        <f>IF(Referencias!G60="","",Referencias!G60)</f>
        <v/>
      </c>
    </row>
    <row r="61" spans="1:4" x14ac:dyDescent="0.25">
      <c r="A61" s="6" t="str">
        <f>Referencias!A61</f>
        <v>R60</v>
      </c>
      <c r="B61" s="6" t="str">
        <f>IF(Referencias!D61="","",Referencias!D61)</f>
        <v/>
      </c>
      <c r="C61" s="6" t="str">
        <f>IF(Referencias!E61="","",Referencias!E61)</f>
        <v/>
      </c>
      <c r="D61" s="6" t="str">
        <f>IF(Referencias!G61="","",Referencias!G61)</f>
        <v/>
      </c>
    </row>
    <row r="62" spans="1:4" x14ac:dyDescent="0.25">
      <c r="A62" s="6" t="str">
        <f>Referencias!A62</f>
        <v>R61</v>
      </c>
      <c r="B62" s="6" t="str">
        <f>IF(Referencias!D62="","",Referencias!D62)</f>
        <v/>
      </c>
      <c r="C62" s="6" t="str">
        <f>IF(Referencias!E62="","",Referencias!E62)</f>
        <v/>
      </c>
      <c r="D62" s="6" t="str">
        <f>IF(Referencias!G62="","",Referencias!G62)</f>
        <v/>
      </c>
    </row>
    <row r="63" spans="1:4" x14ac:dyDescent="0.25">
      <c r="A63" s="6" t="str">
        <f>Referencias!A63</f>
        <v>R62</v>
      </c>
      <c r="B63" s="6" t="str">
        <f>IF(Referencias!D63="","",Referencias!D63)</f>
        <v/>
      </c>
      <c r="C63" s="6" t="str">
        <f>IF(Referencias!E63="","",Referencias!E63)</f>
        <v/>
      </c>
      <c r="D63" s="6" t="str">
        <f>IF(Referencias!G63="","",Referencias!G63)</f>
        <v/>
      </c>
    </row>
    <row r="64" spans="1:4" x14ac:dyDescent="0.25">
      <c r="A64" s="6" t="str">
        <f>Referencias!A64</f>
        <v>R63</v>
      </c>
      <c r="B64" s="6" t="str">
        <f>IF(Referencias!D64="","",Referencias!D64)</f>
        <v/>
      </c>
      <c r="C64" s="6" t="str">
        <f>IF(Referencias!E64="","",Referencias!E64)</f>
        <v/>
      </c>
      <c r="D64" s="6" t="str">
        <f>IF(Referencias!G64="","",Referencias!G64)</f>
        <v/>
      </c>
    </row>
    <row r="65" spans="1:4" x14ac:dyDescent="0.25">
      <c r="A65" s="6" t="str">
        <f>Referencias!A65</f>
        <v>R64</v>
      </c>
      <c r="B65" s="6" t="str">
        <f>IF(Referencias!D65="","",Referencias!D65)</f>
        <v/>
      </c>
      <c r="C65" s="6" t="str">
        <f>IF(Referencias!E65="","",Referencias!E65)</f>
        <v/>
      </c>
      <c r="D65" s="6" t="str">
        <f>IF(Referencias!G65="","",Referencias!G65)</f>
        <v/>
      </c>
    </row>
    <row r="66" spans="1:4" x14ac:dyDescent="0.25">
      <c r="A66" s="6" t="str">
        <f>Referencias!A66</f>
        <v>R65</v>
      </c>
      <c r="B66" s="6" t="str">
        <f>IF(Referencias!D66="","",Referencias!D66)</f>
        <v/>
      </c>
      <c r="C66" s="6" t="str">
        <f>IF(Referencias!E66="","",Referencias!E66)</f>
        <v/>
      </c>
      <c r="D66" s="6" t="str">
        <f>IF(Referencias!G66="","",Referencias!G66)</f>
        <v/>
      </c>
    </row>
    <row r="67" spans="1:4" x14ac:dyDescent="0.25">
      <c r="A67" s="6" t="str">
        <f>Referencias!A67</f>
        <v>R66</v>
      </c>
      <c r="B67" s="6" t="str">
        <f>IF(Referencias!D67="","",Referencias!D67)</f>
        <v/>
      </c>
      <c r="C67" s="6" t="str">
        <f>IF(Referencias!E67="","",Referencias!E67)</f>
        <v/>
      </c>
      <c r="D67" s="6" t="str">
        <f>IF(Referencias!G67="","",Referencias!G67)</f>
        <v/>
      </c>
    </row>
    <row r="68" spans="1:4" x14ac:dyDescent="0.25">
      <c r="A68" s="6" t="str">
        <f>Referencias!A68</f>
        <v>R67</v>
      </c>
      <c r="B68" s="6" t="str">
        <f>IF(Referencias!D68="","",Referencias!D68)</f>
        <v/>
      </c>
      <c r="C68" s="6" t="str">
        <f>IF(Referencias!E68="","",Referencias!E68)</f>
        <v/>
      </c>
      <c r="D68" s="6" t="str">
        <f>IF(Referencias!G68="","",Referencias!G68)</f>
        <v/>
      </c>
    </row>
    <row r="69" spans="1:4" x14ac:dyDescent="0.25">
      <c r="A69" s="6" t="str">
        <f>Referencias!A69</f>
        <v>R68</v>
      </c>
      <c r="B69" s="6" t="str">
        <f>IF(Referencias!D69="","",Referencias!D69)</f>
        <v/>
      </c>
      <c r="C69" s="6" t="str">
        <f>IF(Referencias!E69="","",Referencias!E69)</f>
        <v/>
      </c>
      <c r="D69" s="6" t="str">
        <f>IF(Referencias!G69="","",Referencias!G69)</f>
        <v/>
      </c>
    </row>
    <row r="70" spans="1:4" x14ac:dyDescent="0.25">
      <c r="A70" s="6" t="str">
        <f>Referencias!A70</f>
        <v>R69</v>
      </c>
      <c r="B70" s="6" t="str">
        <f>IF(Referencias!D70="","",Referencias!D70)</f>
        <v/>
      </c>
      <c r="C70" s="6" t="str">
        <f>IF(Referencias!E70="","",Referencias!E70)</f>
        <v/>
      </c>
      <c r="D70" s="6" t="str">
        <f>IF(Referencias!G70="","",Referencias!G70)</f>
        <v/>
      </c>
    </row>
    <row r="71" spans="1:4" x14ac:dyDescent="0.25">
      <c r="A71" s="6" t="str">
        <f>Referencias!A71</f>
        <v>R70</v>
      </c>
      <c r="B71" s="6" t="str">
        <f>IF(Referencias!D71="","",Referencias!D71)</f>
        <v/>
      </c>
      <c r="C71" s="6" t="str">
        <f>IF(Referencias!E71="","",Referencias!E71)</f>
        <v/>
      </c>
      <c r="D71" s="6" t="str">
        <f>IF(Referencias!G71="","",Referencias!G71)</f>
        <v/>
      </c>
    </row>
    <row r="72" spans="1:4" x14ac:dyDescent="0.25">
      <c r="A72" s="6" t="str">
        <f>Referencias!A72</f>
        <v>R71</v>
      </c>
      <c r="B72" s="6" t="str">
        <f>IF(Referencias!D72="","",Referencias!D72)</f>
        <v/>
      </c>
      <c r="C72" s="6" t="str">
        <f>IF(Referencias!E72="","",Referencias!E72)</f>
        <v/>
      </c>
      <c r="D72" s="6" t="str">
        <f>IF(Referencias!G72="","",Referencias!G72)</f>
        <v/>
      </c>
    </row>
    <row r="73" spans="1:4" x14ac:dyDescent="0.25">
      <c r="A73" s="6" t="str">
        <f>Referencias!A73</f>
        <v>R72</v>
      </c>
      <c r="B73" s="6" t="str">
        <f>IF(Referencias!D73="","",Referencias!D73)</f>
        <v/>
      </c>
      <c r="C73" s="6" t="str">
        <f>IF(Referencias!E73="","",Referencias!E73)</f>
        <v/>
      </c>
      <c r="D73" s="6" t="str">
        <f>IF(Referencias!G73="","",Referencias!G73)</f>
        <v/>
      </c>
    </row>
  </sheetData>
  <dataValidations count="1">
    <dataValidation type="list" allowBlank="1" sqref="E2:E46" xr:uid="{00000000-0002-0000-0300-000000000000}">
      <formula1>"Utilizable,Existe pero no dice eso,No existe"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3"/>
  <sheetViews>
    <sheetView zoomScaleNormal="100" workbookViewId="0">
      <pane ySplit="1" topLeftCell="A33" activePane="bottomLeft" state="frozen"/>
      <selection pane="bottomLeft" activeCell="E34" sqref="E34"/>
    </sheetView>
  </sheetViews>
  <sheetFormatPr baseColWidth="10" defaultColWidth="8.7109375" defaultRowHeight="15" x14ac:dyDescent="0.25"/>
  <cols>
    <col min="1" max="1" width="7" customWidth="1"/>
    <col min="2" max="2" width="11" customWidth="1"/>
    <col min="3" max="3" width="50" customWidth="1"/>
    <col min="4" max="4" width="45" customWidth="1"/>
    <col min="5" max="5" width="24" customWidth="1"/>
    <col min="6" max="6" width="40" customWidth="1"/>
    <col min="7" max="7" width="36" customWidth="1"/>
  </cols>
  <sheetData>
    <row r="1" spans="1:7" ht="30" x14ac:dyDescent="0.25">
      <c r="A1" s="3" t="s">
        <v>16</v>
      </c>
      <c r="B1" s="3" t="s">
        <v>19</v>
      </c>
      <c r="C1" s="3" t="s">
        <v>235</v>
      </c>
      <c r="D1" s="3" t="s">
        <v>236</v>
      </c>
      <c r="E1" s="3" t="s">
        <v>237</v>
      </c>
      <c r="F1" s="3" t="s">
        <v>238</v>
      </c>
      <c r="G1" s="3" t="s">
        <v>239</v>
      </c>
    </row>
    <row r="2" spans="1:7" ht="128.25" x14ac:dyDescent="0.25">
      <c r="A2" s="6" t="str">
        <f>Referencias!A2</f>
        <v>R01</v>
      </c>
      <c r="B2" s="6" t="str">
        <f>IF(Referencias!D2="","",Referencias!D2)</f>
        <v>A</v>
      </c>
      <c r="C2" s="6" t="str">
        <f>IF(Referencias!E2="","",Referencias!E2)</f>
        <v>Worthington, A. C., &amp; Lee, B. L. (2008). Efficiency, technology and productivity change in Australian universities, 1998–2003.</v>
      </c>
      <c r="D2" s="6" t="str">
        <f>IF(Referencias!G2="","",Referencias!G2)</f>
        <v>Worthington y Lee (2008) aplican el índice de Malmquist a 35 universidades australianas durante el periodo 1998-2003 para medir el crecimiento de la productividad y descomponerlo en cambios de eficiencia técnica y progreso tecnológico. El estudio encuentra un crecimiento promedio anual de la productividad del 3,3%, atribuido principalmente al progreso tecnológico.</v>
      </c>
      <c r="E2" s="5" t="s">
        <v>240</v>
      </c>
      <c r="F2" s="5" t="s">
        <v>340</v>
      </c>
      <c r="G2" s="5" t="s">
        <v>341</v>
      </c>
    </row>
    <row r="3" spans="1:7" ht="71.25" x14ac:dyDescent="0.25">
      <c r="A3" s="6" t="str">
        <f>Referencias!A3</f>
        <v>R02</v>
      </c>
      <c r="B3" s="6" t="str">
        <f>IF(Referencias!D3="","",Referencias!D3)</f>
        <v>A</v>
      </c>
      <c r="C3" s="6" t="str">
        <f>IF(Referencias!E3="","",Referencias!E3)</f>
        <v>Flegg, A. T., Allen, D. O., Field, K., &amp; Thurlow, T. W. (2004). Measuring the efficiency of British universities: A multi-period data envelopment analysis</v>
      </c>
      <c r="D3" s="6" t="str">
        <f>IF(Referencias!G3="","",Referencias!G3)</f>
        <v>Utiliza DEA en varios periodos para estudiar la evolución de la eficiencia universitaria y constituye un antecedente metodológico importante para analizar productividad y eficiencia a lo largo del tiempo.</v>
      </c>
      <c r="E3" s="5" t="s">
        <v>240</v>
      </c>
      <c r="F3" s="5" t="s">
        <v>342</v>
      </c>
      <c r="G3" s="5" t="s">
        <v>343</v>
      </c>
    </row>
    <row r="4" spans="1:7" ht="85.5" x14ac:dyDescent="0.25">
      <c r="A4" s="6" t="str">
        <f>Referencias!A4</f>
        <v>R03</v>
      </c>
      <c r="B4" s="6" t="str">
        <f>IF(Referencias!D4="","",Referencias!D4)</f>
        <v>A</v>
      </c>
      <c r="C4" s="6" t="str">
        <f>IF(Referencias!E4="","",Referencias!E4)</f>
        <v>Johnes, J. (2006). Data envelopment analysis and its application to the measurement of efficiency in higher education.</v>
      </c>
      <c r="D4" s="6" t="str">
        <f>IF(Referencias!G4="","",Referencias!G4)</f>
        <v>Presenta y discute la aplicación de DEA en educación superior, explicando cómo las universidades pueden analizarse como unidades que transforman múltiples insumos en productos; es una base metodológica que posteriormente calcula índices de Malmquist.</v>
      </c>
      <c r="E4" s="5" t="s">
        <v>245</v>
      </c>
      <c r="F4" s="5" t="s">
        <v>344</v>
      </c>
      <c r="G4" s="5" t="s">
        <v>345</v>
      </c>
    </row>
    <row r="5" spans="1:7" ht="85.5" x14ac:dyDescent="0.25">
      <c r="A5" s="6" t="str">
        <f>Referencias!A5</f>
        <v>R04</v>
      </c>
      <c r="B5" s="6" t="str">
        <f>IF(Referencias!D5="","",Referencias!D5)</f>
        <v>A</v>
      </c>
      <c r="C5" s="6" t="str">
        <f>IF(Referencias!E5="","",Referencias!E5)</f>
        <v>Kao, C., &amp; Hung, H.-T. (2008). Efficiency analysis of university departments: An empirical study.</v>
      </c>
      <c r="D5" s="6" t="str">
        <f>IF(Referencias!G5="","",Referencias!G5)</f>
        <v>Muestra cómo DEA puede utilizarse para comparar unidades universitarias con múltiples insumos y productos, lo que resulta relevante cuando el índice de Malmquist se construye sobre fronteras de producción estimadas mediante DEA.</v>
      </c>
      <c r="E5" s="5" t="s">
        <v>245</v>
      </c>
      <c r="F5" s="5" t="s">
        <v>346</v>
      </c>
      <c r="G5" s="5" t="s">
        <v>347</v>
      </c>
    </row>
    <row r="6" spans="1:7" ht="71.25" x14ac:dyDescent="0.25">
      <c r="A6" s="6" t="str">
        <f>Referencias!A6</f>
        <v>R05</v>
      </c>
      <c r="B6" s="6" t="str">
        <f>IF(Referencias!D6="","",Referencias!D6)</f>
        <v>A</v>
      </c>
      <c r="C6" s="6" t="str">
        <f>IF(Referencias!E6="","",Referencias!E6)</f>
        <v>Abbott, M., &amp; Doucouliagos, C. (2003). The efficiency of Australian universities: A data envelopment analysis.</v>
      </c>
      <c r="D6" s="6" t="str">
        <f>IF(Referencias!G6="","",Referencias!G6)</f>
        <v>Analiza la eficiencia relativa de universidades australianas mediante DEA y demuestra la utilidad de este enfoque para estudiar diferencias de productividad/eficiencia entre instituciones de educación superior.</v>
      </c>
      <c r="E6" s="5" t="s">
        <v>240</v>
      </c>
      <c r="F6" s="5" t="s">
        <v>348</v>
      </c>
      <c r="G6" s="5" t="s">
        <v>349</v>
      </c>
    </row>
    <row r="7" spans="1:7" ht="71.25" x14ac:dyDescent="0.25">
      <c r="A7" s="6" t="str">
        <f>Referencias!A7</f>
        <v>R06</v>
      </c>
      <c r="B7" s="6" t="str">
        <f>IF(Referencias!D7="","",Referencias!D7)</f>
        <v>B</v>
      </c>
      <c r="C7" s="6" t="str">
        <f>IF(Referencias!E7="","",Referencias!E7)</f>
        <v xml:space="preserve">	Johnes, J.(2008). Efficiency and Productivity Change in the English Higher Education Sector from 1996/97 to 2004/5</v>
      </c>
      <c r="D7" s="6" t="str">
        <f>IF(Referencias!G7="","",Referencias!G7)</f>
        <v xml:space="preserve">Estima índices de Malmquist para 112 instituciones inglesas y encuentra un aumento medio anual de productividad de 1%, explicado por +6% de cambio tecnológico y −5% de eficiencia técnica </v>
      </c>
      <c r="E7" s="5" t="s">
        <v>240</v>
      </c>
      <c r="F7" s="5" t="s">
        <v>350</v>
      </c>
      <c r="G7" s="5" t="s">
        <v>351</v>
      </c>
    </row>
    <row r="8" spans="1:7" ht="71.25" x14ac:dyDescent="0.25">
      <c r="A8" s="6" t="str">
        <f>Referencias!A8</f>
        <v>R07</v>
      </c>
      <c r="B8" s="6" t="str">
        <f>IF(Referencias!D8="","",Referencias!D8)</f>
        <v>B</v>
      </c>
      <c r="C8" s="6" t="str">
        <f>IF(Referencias!E8="","",Referencias!E8)</f>
        <v>Parteka, A.; Wolszczak-Derlacz, J.(2012). Dynamics of productivity in higher education: cross-european evidence based on bootstrapped Malmquist indices</v>
      </c>
      <c r="D8" s="6" t="str">
        <f>IF(Referencias!G8="","",Referencias!G8)</f>
        <v xml:space="preserve">Analiza 266 instituciones públicas en 7 países europeos y muestra un crecimiento medio anual de productividad de 4%, además de evaluar la significancia estadística de los cambios con bootstrap </v>
      </c>
      <c r="E8" s="5" t="s">
        <v>240</v>
      </c>
      <c r="F8" s="5" t="s">
        <v>352</v>
      </c>
      <c r="G8" s="5" t="s">
        <v>353</v>
      </c>
    </row>
    <row r="9" spans="1:7" ht="71.25" x14ac:dyDescent="0.25">
      <c r="A9" s="6" t="str">
        <f>Referencias!A9</f>
        <v>R08</v>
      </c>
      <c r="B9" s="6" t="str">
        <f>IF(Referencias!D9="","",Referencias!D9)</f>
        <v>B</v>
      </c>
      <c r="C9" s="6" t="str">
        <f>IF(Referencias!E9="","",Referencias!E9)</f>
        <v>Worthington, A.; Lee, B. L.(Worthington, A.; Lee, B. L.(2008).Efficiency, technology and productivity change in Australian universities, 1998–2003</v>
      </c>
      <c r="D9" s="6" t="str">
        <f>IF(Referencias!G9="","",Referencias!G9)</f>
        <v xml:space="preserve">Para 35 universidades australianas, reporta un crecimiento anual medio de productividad de 3.3%, atribuido principalmente al progreso tecnológico; además separa productividad de docencia e investigación </v>
      </c>
      <c r="E9" s="5" t="s">
        <v>240</v>
      </c>
      <c r="F9" s="5" t="s">
        <v>352</v>
      </c>
      <c r="G9" s="5" t="s">
        <v>354</v>
      </c>
    </row>
    <row r="10" spans="1:7" ht="71.25" x14ac:dyDescent="0.25">
      <c r="A10" s="6" t="str">
        <f>Referencias!A10</f>
        <v>R09</v>
      </c>
      <c r="B10" s="6" t="str">
        <f>IF(Referencias!D10="","",Referencias!D10)</f>
        <v>B</v>
      </c>
      <c r="C10" s="6" t="str">
        <f>IF(Referencias!E10="","",Referencias!E10)</f>
        <v>García-Aracil, A.(2013). Understanding productivity changes in public universities: Evidence from Spain</v>
      </c>
      <c r="D10" s="6" t="str">
        <f>IF(Referencias!G10="","",Referencias!G10)</f>
        <v>Estudia universidades españolas entre 1994 y 2008 y encuentra que el crecimiento de productividad se debe más a mejoras de eficiencia que al progreso tecnológico, con un papel menor de la eficiencia de escala.</v>
      </c>
      <c r="E10" s="5" t="s">
        <v>240</v>
      </c>
      <c r="F10" s="5" t="s">
        <v>350</v>
      </c>
      <c r="G10" s="5" t="s">
        <v>355</v>
      </c>
    </row>
    <row r="11" spans="1:7" ht="71.25" x14ac:dyDescent="0.25">
      <c r="A11" s="6" t="str">
        <f>Referencias!A11</f>
        <v>R10</v>
      </c>
      <c r="B11" s="6" t="str">
        <f>IF(Referencias!D11="","",Referencias!D11)</f>
        <v>B</v>
      </c>
      <c r="C11" s="6" t="str">
        <f>IF(Referencias!E11="","",Referencias!E11)</f>
        <v>de la Hoz, E.; García-Yerena, C.; Zuluaga-Ortiz, R.(2026). Academic Productivity Dynamics in Colombian Social Science Programs: A PCA–Malmquist Index Approach (2020–2023)</v>
      </c>
      <c r="D11" s="6" t="str">
        <f>IF(Referencias!G11="","",Referencias!G11)</f>
        <v xml:space="preserve">Aplica PCA–Malmquist a 11,099 observaciones y concluye que 76% de las mejoras de productividad se explican por cambio tecnológico, con fuertes diferencias regionales </v>
      </c>
      <c r="E11" s="5" t="s">
        <v>245</v>
      </c>
      <c r="F11" s="5" t="s">
        <v>352</v>
      </c>
      <c r="G11" s="5" t="s">
        <v>356</v>
      </c>
    </row>
    <row r="12" spans="1:7" ht="99.75" x14ac:dyDescent="0.25">
      <c r="A12" s="6" t="str">
        <f>Referencias!A12</f>
        <v>R11</v>
      </c>
      <c r="B12" s="6" t="str">
        <f>IF(Referencias!D12="","",Referencias!D12)</f>
        <v>C</v>
      </c>
      <c r="C12" s="6" t="str">
        <f>IF(Referencias!E12="","",Referencias!E12)</f>
        <v>Francisco Javier Maza Ávila, Juan Carlos Vergara Schmalbach y Raúl Román Romero. (2017).Eficiencia y productividad en la cobertura de las universidades públicas colombianas</v>
      </c>
      <c r="D12" s="6" t="str">
        <f>IF(Referencias!G12="","",Referencias!G12)</f>
        <v>Evalúa la evolución de la productividad en la cobertura de 32 universidades públicas colombianas (2003-2012) mediante el índice de Malmquist, encontrando un crecimiento promedio anual del 9% en la productividad impulsado fundamentalmente por avances tecnológicos</v>
      </c>
      <c r="E12" s="5" t="s">
        <v>240</v>
      </c>
      <c r="F12" s="5" t="s">
        <v>357</v>
      </c>
      <c r="G12" s="5" t="s">
        <v>358</v>
      </c>
    </row>
    <row r="13" spans="1:7" ht="99.75" x14ac:dyDescent="0.25">
      <c r="A13" s="6" t="str">
        <f>Referencias!A13</f>
        <v>R12</v>
      </c>
      <c r="B13" s="6" t="str">
        <f>IF(Referencias!D13="","",Referencias!D13)</f>
        <v>C</v>
      </c>
      <c r="C13" s="6" t="str">
        <f>IF(Referencias!E13="","",Referencias!E13)</f>
        <v>Morales-Piñero, Niño-Muñoz, &amp; Lesmes-Cardenas (2022).Gestión Pública o Privada de las Universidades: ¿Cuál es la Opción más Eficiente para una Política Pública en Educación Superior en Colombia?</v>
      </c>
      <c r="D13" s="6" t="str">
        <f>IF(Referencias!G13="","",Referencias!G13)</f>
        <v>Emplea el índice Global Malmquist-Luenberger (GML) con metafronteras DEA para evaluar la productividad y la eficiencia de 122 universidades públicas y privadas colombianas considerando bad outputs como los egresados no vinculados al mercado laboral formal</v>
      </c>
      <c r="E13" s="5" t="s">
        <v>240</v>
      </c>
      <c r="F13" s="5" t="s">
        <v>352</v>
      </c>
      <c r="G13" s="5" t="s">
        <v>359</v>
      </c>
    </row>
    <row r="14" spans="1:7" ht="85.5" x14ac:dyDescent="0.25">
      <c r="A14" s="6" t="str">
        <f>Referencias!A14</f>
        <v>R13</v>
      </c>
      <c r="B14" s="6" t="str">
        <f>IF(Referencias!D14="","",Referencias!D14)</f>
        <v>C</v>
      </c>
      <c r="C14" s="6" t="str">
        <f>IF(Referencias!E14="","",Referencias!E14)</f>
        <v>Thanassoulis, Kortelainen, Johnes, &amp; Johnes (2011).Costs and efficiency of higher education institutions in England: A DEA analysis.</v>
      </c>
      <c r="D14" s="6" t="str">
        <f>IF(Referencias!G14="","",Referencias!G14)</f>
        <v>Utiliza el índice de Malmquist combinado con modelos DEA para medir las variaciones en la productividad total de los factores a lo largo del tiempo y analizar las estructuras de costos en las instituciones de educación superior en Inglaterra.</v>
      </c>
      <c r="E14" s="5" t="s">
        <v>240</v>
      </c>
      <c r="F14" s="5" t="s">
        <v>360</v>
      </c>
      <c r="G14" s="5" t="s">
        <v>361</v>
      </c>
    </row>
    <row r="15" spans="1:7" ht="85.5" x14ac:dyDescent="0.25">
      <c r="A15" s="6" t="str">
        <f>Referencias!A15</f>
        <v>R14</v>
      </c>
      <c r="B15" s="6" t="str">
        <f>IF(Referencias!D15="","",Referencias!D15)</f>
        <v>C</v>
      </c>
      <c r="C15" s="6" t="str">
        <f>IF(Referencias!E15="","",Referencias!E15)</f>
        <v>Flegg, Allen, Field, &amp; Thurlow (2004).Measuring the efficiency of British universities: A multiperiod data envelopment analysis.</v>
      </c>
      <c r="D15" s="6" t="str">
        <f>IF(Referencias!G15="","",Referencias!G15)</f>
        <v xml:space="preserve"> Mide los cambios en la productividad y la eficiencia técnica de las universidades británicas en múltiples periodos aplicando el índice de Malmquist, evaluando además el impacto de la congestión de insumos en el rendimiento.</v>
      </c>
      <c r="E15" s="5" t="s">
        <v>240</v>
      </c>
      <c r="F15" s="5" t="s">
        <v>350</v>
      </c>
      <c r="G15" s="5" t="s">
        <v>362</v>
      </c>
    </row>
    <row r="16" spans="1:7" ht="71.25" x14ac:dyDescent="0.25">
      <c r="A16" s="6" t="str">
        <f>Referencias!A16</f>
        <v>R15</v>
      </c>
      <c r="B16" s="6" t="str">
        <f>IF(Referencias!D16="","",Referencias!D16)</f>
        <v>C</v>
      </c>
      <c r="C16" s="6" t="str">
        <f>IF(Referencias!E16="","",Referencias!E16)</f>
        <v>Galvis-Aponte (2015). LA EFICIENCIA DEL GASTO PÚBLICO
EN EDUCACIÓN EN COLOMBIA</v>
      </c>
      <c r="D16" s="6" t="str">
        <f>IF(Referencias!G16="","",Referencias!G16)</f>
        <v xml:space="preserve"> Evalúa la eficiencia del gasto territorial del Sistema General de Participaciones (SGP) en municipios colombianos (2012), encontrando una eficiencia promedio de 63,4% en cobertura y de 48,8% en calidad educativa.</v>
      </c>
      <c r="E16" s="5" t="s">
        <v>240</v>
      </c>
      <c r="F16" s="5" t="s">
        <v>363</v>
      </c>
      <c r="G16" s="5" t="s">
        <v>358</v>
      </c>
    </row>
    <row r="17" spans="1:7" ht="85.5" x14ac:dyDescent="0.25">
      <c r="A17" s="6" t="str">
        <f>Referencias!A17</f>
        <v>R16</v>
      </c>
      <c r="B17" s="6" t="str">
        <f>IF(Referencias!D17="","",Referencias!D17)</f>
        <v>A</v>
      </c>
      <c r="C17" s="6" t="str">
        <f>IF(Referencias!E17="","",Referencias!E17)</f>
        <v>Melo-Becerra, L. A., &amp; Vásquez, D. M. (2019). Eficiencia de las instituciones de educación superior en Colombia: una aproximación mediante análisis envolvente de datos</v>
      </c>
      <c r="D17" s="6" t="str">
        <f>IF(Referencias!G17="","",Referencias!G17)</f>
        <v>Es directamente pertinente para Colombia: utiliza DEA para estudiar diferencias de eficiencia entre instituciones de educación superior y permite sustentar la selección de insumos y productos educativos en un contexto colombiano.</v>
      </c>
      <c r="E17" s="5" t="s">
        <v>258</v>
      </c>
      <c r="F17" s="5" t="s">
        <v>364</v>
      </c>
      <c r="G17" s="5" t="s">
        <v>365</v>
      </c>
    </row>
    <row r="18" spans="1:7" ht="71.25" x14ac:dyDescent="0.25">
      <c r="A18" s="6" t="str">
        <f>Referencias!A18</f>
        <v>R17</v>
      </c>
      <c r="B18" s="6" t="str">
        <f>IF(Referencias!D18="","",Referencias!D18)</f>
        <v>A</v>
      </c>
      <c r="C18" s="6" t="str">
        <f>IF(Referencias!E18="","",Referencias!E18)</f>
        <v>González, L., &amp; Callejas, J. (2011). Análisis envolvente de datos aplicado a la evaluación de la eficiencia de las universidades públicas españolas</v>
      </c>
      <c r="D18" s="6" t="str">
        <f>IF(Referencias!G18="","",Referencias!G18)</f>
        <v>Es útil metodológicamente porque muestra cómo DEA permite comparar universidades mediante una frontera de eficiencia, distinguiendo instituciones eficientes de aquellas con posibilidades de mejora relativa.</v>
      </c>
      <c r="E18" s="5" t="s">
        <v>258</v>
      </c>
      <c r="F18" s="5" t="s">
        <v>366</v>
      </c>
      <c r="G18" s="5" t="s">
        <v>367</v>
      </c>
    </row>
    <row r="19" spans="1:7" ht="71.25" x14ac:dyDescent="0.25">
      <c r="A19" s="6" t="str">
        <f>Referencias!A19</f>
        <v>R18</v>
      </c>
      <c r="B19" s="6" t="str">
        <f>IF(Referencias!D19="","",Referencias!D19)</f>
        <v>A</v>
      </c>
      <c r="C19" s="6" t="str">
        <f>IF(Referencias!E19="","",Referencias!E19)</f>
        <v>Johnes, J. (2006). Data envelopment analysis and its application to the measurement of efficiency in higher education</v>
      </c>
      <c r="D19" s="6" t="str">
        <f>IF(Referencias!G19="","",Referencias!G19)</f>
        <v>Es relevante para justificar comparaciones entre instituciones públicas y otros tipos de universidades y para discutir cómo las características institucionales pueden asociarse con diferencias en eficiencia DEA.</v>
      </c>
      <c r="E19" s="5" t="s">
        <v>240</v>
      </c>
      <c r="F19" s="5" t="s">
        <v>368</v>
      </c>
      <c r="G19" s="5" t="s">
        <v>369</v>
      </c>
    </row>
    <row r="20" spans="1:7" ht="85.5" x14ac:dyDescent="0.25">
      <c r="A20" s="6" t="str">
        <f>Referencias!A20</f>
        <v>R19</v>
      </c>
      <c r="B20" s="6" t="str">
        <f>IF(Referencias!D20="","",Referencias!D20)</f>
        <v>A</v>
      </c>
      <c r="C20" s="6" t="str">
        <f>IF(Referencias!E20="","",Referencias!E20)</f>
        <v>Agasisti, T., Dal Bianco, A., Griffini, M., &amp; Valenti, R. (2016). The public-private efficiency gap: An empirical analysis of Italian universities</v>
      </c>
      <c r="D20" s="6" t="str">
        <f>IF(Referencias!G20="","",Referencias!G20)</f>
        <v>Es directamente pertinente para Colombia: utiliza DEA para estudiar diferencias de eficiencia entre instituciones de educación superior y permite sustentar la selección de insumos y productos educativos en un contexto colombiano.</v>
      </c>
      <c r="E20" s="5" t="s">
        <v>258</v>
      </c>
      <c r="F20" s="5" t="s">
        <v>370</v>
      </c>
      <c r="G20" s="5" t="s">
        <v>367</v>
      </c>
    </row>
    <row r="21" spans="1:7" ht="85.5" x14ac:dyDescent="0.25">
      <c r="A21" s="6" t="str">
        <f>Referencias!A21</f>
        <v>R20</v>
      </c>
      <c r="B21" s="6" t="str">
        <f>IF(Referencias!D21="","",Referencias!D21)</f>
        <v>A</v>
      </c>
      <c r="C21" s="6" t="str">
        <f>IF(Referencias!E21="","",Referencias!E21)</f>
        <v>Ramanathan, R. (2003). An Introduction to Data Envelopment Analysis: A Tool for Performance Measurement</v>
      </c>
      <c r="D21" s="6" t="str">
        <f>IF(Referencias!G21="","",Referencias!G21)</f>
        <v>Aunque no es específico de universidades latinoamericanas, proporciona la base metodológica para CCR/BCC, orientación input/output, eficiencia técnica y construcción de la frontera DEA, conceptos necesarios para fundamentar el modelo de tu consultoría.</v>
      </c>
      <c r="E21" s="5" t="s">
        <v>245</v>
      </c>
      <c r="F21" s="5" t="s">
        <v>371</v>
      </c>
      <c r="G21" s="5" t="s">
        <v>372</v>
      </c>
    </row>
    <row r="22" spans="1:7" ht="71.25" x14ac:dyDescent="0.25">
      <c r="A22" s="6" t="str">
        <f>Referencias!A22</f>
        <v>R21</v>
      </c>
      <c r="B22" s="6" t="str">
        <f>IF(Referencias!D22="","",Referencias!D22)</f>
        <v>B</v>
      </c>
      <c r="C22" s="6" t="str">
        <f>IF(Referencias!E22="","",Referencias!E22)</f>
        <v>Lina P. Navas, Felipe Montes, Sepideh Abolghasem, Ricardo Salas, M. Toloo, R. Zarama (2020) Colombian higher education institutions evaluation</v>
      </c>
      <c r="D22" s="6" t="str">
        <f>IF(Referencias!G22="","",Referencias!G22)</f>
        <v>Propone una extensión de DEA de eficiencia cruzada para evaluar IES colombianas con metas múltiples, mostrando que unas instituciones son más eficientes en docencia o empleabilidad y otras en investigación</v>
      </c>
      <c r="E22" s="5" t="s">
        <v>240</v>
      </c>
      <c r="F22" s="5" t="s">
        <v>350</v>
      </c>
      <c r="G22" s="5" t="s">
        <v>373</v>
      </c>
    </row>
    <row r="23" spans="1:7" ht="85.5" x14ac:dyDescent="0.25">
      <c r="A23" s="6" t="str">
        <f>Referencias!A23</f>
        <v>R22</v>
      </c>
      <c r="B23" s="6" t="str">
        <f>IF(Referencias!D23="","",Referencias!D23)</f>
        <v>B</v>
      </c>
      <c r="C23" s="6" t="str">
        <f>IF(Referencias!E23="","",Referencias!E23)</f>
        <v>Delimiro Visbal-Cadavid, M. Martínez-Gómez, F. Guijarro (2017) Assessing the Efficiency of Public Universities through DEA. A Case Study</v>
      </c>
      <c r="D23" s="6" t="str">
        <f>IF(Referencias!G23="","",Referencias!G23)</f>
        <v xml:space="preserve">	Evalúa 32 universidades públicas colombianas con modelos CCR, BCC y SBM orientados al output, desagregando ineficiencia técnica, de escala y de mezcla, y encuentra a Tolima, Caldas y UNAD entre las de mejor desempeño.</v>
      </c>
      <c r="E23" s="5" t="s">
        <v>240</v>
      </c>
      <c r="F23" s="5" t="s">
        <v>374</v>
      </c>
      <c r="G23" s="5" t="s">
        <v>375</v>
      </c>
    </row>
    <row r="24" spans="1:7" ht="85.5" x14ac:dyDescent="0.25">
      <c r="A24" s="6" t="str">
        <f>Referencias!A24</f>
        <v>R23</v>
      </c>
      <c r="B24" s="6" t="str">
        <f>IF(Referencias!D24="","",Referencias!D24)</f>
        <v>B</v>
      </c>
      <c r="C24" s="6" t="str">
        <f>IF(Referencias!E24="","",Referencias!E24)</f>
        <v>Jorge Moreno-Gómez, Jonathan Calleja-Blanco, Gloria Moreno-Gómez (2019) Measuring the efficiency of the Colombian higher education system: a two-stage approach</v>
      </c>
      <c r="D24" s="6" t="str">
        <f>IF(Referencias!G24="","",Referencias!G24)</f>
        <v>Aplica un DEA en dos etapas a 78 universidades colombianas entre 2015 y 2017 y encuentra que las públicas superan a las privadas en eficiencia docente e investigativa, mientras la proporción de profesores con PhD mejora todas las dimensiones de eficiencia</v>
      </c>
      <c r="E24" s="5" t="s">
        <v>240</v>
      </c>
      <c r="F24" s="5" t="s">
        <v>350</v>
      </c>
      <c r="G24" s="5" t="s">
        <v>376</v>
      </c>
    </row>
    <row r="25" spans="1:7" ht="71.25" x14ac:dyDescent="0.25">
      <c r="A25" s="6" t="str">
        <f>Referencias!A25</f>
        <v>R24</v>
      </c>
      <c r="B25" s="6" t="str">
        <f>IF(Referencias!D25="","",Referencias!D25)</f>
        <v>B</v>
      </c>
      <c r="C25" s="6" t="str">
        <f>IF(Referencias!E25="","",Referencias!E25)</f>
        <v>M. Sagarra, T. Agasisti (2017) Exploring the efficiency of Mexican universities: Integrating Data Envelopment Analysis and Multidimensional Scaling</v>
      </c>
      <c r="D25" s="6" t="str">
        <f>IF(Referencias!G25="","",Referencias!G25)</f>
        <v>Analiza 55 universidades mexicanas entre 2007 y 2012 con 21 modelos DEA y escalamiento multidimensional, para distinguir si los cambios de eficiencia provienen de docencia, investigación o ambas dimensiones</v>
      </c>
      <c r="E25" s="5" t="s">
        <v>240</v>
      </c>
      <c r="F25" s="5" t="s">
        <v>377</v>
      </c>
      <c r="G25" s="5" t="s">
        <v>378</v>
      </c>
    </row>
    <row r="26" spans="1:7" ht="85.5" x14ac:dyDescent="0.25">
      <c r="A26" s="6" t="str">
        <f>Referencias!A26</f>
        <v>R25</v>
      </c>
      <c r="B26" s="6" t="str">
        <f>IF(Referencias!D26="","",Referencias!D26)</f>
        <v>B</v>
      </c>
      <c r="C26" s="6" t="str">
        <f>IF(Referencias!E26="","",Referencias!E26)</f>
        <v>Rafael Santos Tavares, L. Angulo-Meza, A. P. Sant'Anna (2021) A proposed multistage evaluation approach for Higher Education Institutions based on network Data envelopment analysis: A Brazilian experience</v>
      </c>
      <c r="D26" s="6" t="str">
        <f>IF(Referencias!G26="","",Referencias!G26)</f>
        <v>Desarrolla un enfoque de Network DEA en tres etapas aplicado a 45 universidades federales brasileñas, permitiendo medir eficiencia financiera, de pregrado y de posgrado con una visión más integral de los procesos universitarios</v>
      </c>
      <c r="E26" s="5" t="s">
        <v>240</v>
      </c>
      <c r="F26" s="5" t="s">
        <v>350</v>
      </c>
      <c r="G26" s="5" t="s">
        <v>379</v>
      </c>
    </row>
    <row r="27" spans="1:7" ht="128.25" x14ac:dyDescent="0.25">
      <c r="A27" s="6" t="str">
        <f>Referencias!A27</f>
        <v>R26</v>
      </c>
      <c r="B27" s="6" t="str">
        <f>IF(Referencias!D27="","",Referencias!D27)</f>
        <v>C</v>
      </c>
      <c r="C27" s="6" t="str">
        <f>IF(Referencias!E27="","",Referencias!E27)</f>
        <v>Francisco Javier Maza Ávila, Juan Carlos Vergara Schmalbach y Raúl Román Romero (2017) EFICIENCIA Y PRODUCTIVIDAD EN LA COBERTURA DE LAS UNIVERSIDADES PÚBLICAS COLOMBIANAS</v>
      </c>
      <c r="D27" s="6" t="str">
        <f>IF(Referencias!G27="","",Referencias!G27)</f>
        <v>Analiza la eficiencia técnica (DEA BCC) y los cambios en la productividad (índice de Malmquist) en la cobertura de 32 universidades públicas colombianas del Sistema Universitario Estatal (2003-2012), encontrando una eficiencia promedio superior al 70% y un crecimiento de la productividad del 9%, aunque con notables diferencias entre la región Andina y la región Caribe</v>
      </c>
      <c r="E27" s="5" t="s">
        <v>240</v>
      </c>
      <c r="F27" s="5" t="s">
        <v>380</v>
      </c>
      <c r="G27" s="5" t="s">
        <v>381</v>
      </c>
    </row>
    <row r="28" spans="1:7" ht="156.75" x14ac:dyDescent="0.25">
      <c r="A28" s="6" t="str">
        <f>Referencias!A28</f>
        <v>R27</v>
      </c>
      <c r="B28" s="6" t="str">
        <f>IF(Referencias!D28="","",Referencias!D28)</f>
        <v>C</v>
      </c>
      <c r="C28" s="6" t="str">
        <f>IF(Referencias!E28="","",Referencias!E28)</f>
        <v>Juan Morales-Piñero, Diana Niño-Muñoz y Diana Lesmes-Cardenas (2022) Gestión Pública o Privada de las Universidades: ¿Cuál es la Opción más Eficiente para una Política Pública en Educación Superior en Colombia?</v>
      </c>
      <c r="D28" s="6" t="str">
        <f>IF(Referencias!G28="","",Referencias!G28)</f>
        <v>Compara la eficiencia de 122 universidades públicas y privadas colombianas mediante una metafrontera DEA con *bad outputs* (incorporando el desempleo formal de sus graduados), concluyendo que no hay diferencias globales estadísticamente significativas en la eficiencia de gestión entre ambos sectores, aunque las universidades públicas lideran la producción científica y muestran mayor eficiencia en entornos urbanos de alta competencia</v>
      </c>
      <c r="E28" s="5" t="s">
        <v>240</v>
      </c>
      <c r="F28" s="5" t="s">
        <v>382</v>
      </c>
      <c r="G28" s="5" t="s">
        <v>383</v>
      </c>
    </row>
    <row r="29" spans="1:7" ht="85.5" x14ac:dyDescent="0.25">
      <c r="A29" s="6" t="str">
        <f>Referencias!A29</f>
        <v>R28</v>
      </c>
      <c r="B29" s="6" t="str">
        <f>IF(Referencias!D29="","",Referencias!D29)</f>
        <v>C</v>
      </c>
      <c r="C29" s="6" t="str">
        <f>IF(Referencias!E29="","",Referencias!E29)</f>
        <v>Diego Visbal-Cadavid, Adel Mendoza y Eduardo Causado Rodríguez (2016) Eficiencia en las instituciones de educación superior públicas colombianas: una aplicación del análisis envolvente de datos</v>
      </c>
      <c r="D29" s="6" t="str">
        <f>IF(Referencias!G29="","",Referencias!G29)</f>
        <v>Aplica la metodología DEA para medir la eficiencia relativa de las instituciones públicas de educación superior en Colombia al transformar sus recursos institucionales e insumos en productos de docencia e investigación</v>
      </c>
      <c r="E29" s="5" t="s">
        <v>240</v>
      </c>
      <c r="F29" s="5" t="s">
        <v>384</v>
      </c>
      <c r="G29" s="5" t="s">
        <v>385</v>
      </c>
    </row>
    <row r="30" spans="1:7" ht="71.25" x14ac:dyDescent="0.25">
      <c r="A30" s="6" t="str">
        <f>Referencias!A30</f>
        <v>R29</v>
      </c>
      <c r="B30" s="6" t="str">
        <f>IF(Referencias!D30="","",Referencias!D30)</f>
        <v>C</v>
      </c>
      <c r="C30" s="6" t="str">
        <f>IF(Referencias!E30="","",Referencias!E30)</f>
        <v>Zulima Ramírez-Gutiérrez, Mercedes Barrachina-Palanca y Vicente Ripoll-Feliu (2020) Efficiency in higher education. Empirical study in public universities of Colombia and Spain[18]</v>
      </c>
      <c r="D30" s="6" t="str">
        <f>IF(Referencias!G30="","",Referencias!G30)</f>
        <v>Realiza una evaluación empírica mediante Análisis Envolvente de Datos para comparar el desempeño e identificar niveles de eficiencia técnica e institucional entre las universidades públicas de Colombia y España</v>
      </c>
      <c r="E30" s="5" t="s">
        <v>240</v>
      </c>
      <c r="F30" s="5" t="s">
        <v>386</v>
      </c>
      <c r="G30" s="5" t="s">
        <v>387</v>
      </c>
    </row>
    <row r="31" spans="1:7" ht="71.25" x14ac:dyDescent="0.25">
      <c r="A31" s="6" t="str">
        <f>Referencias!A31</f>
        <v>R30</v>
      </c>
      <c r="B31" s="6" t="str">
        <f>IF(Referencias!D31="","",Referencias!D31)</f>
        <v>C</v>
      </c>
      <c r="C31" s="6" t="str">
        <f>IF(Referencias!E31="","",Referencias!E31)</f>
        <v>Alejandro Altamirano-Corro y Rodrigo Peniche-Vera (2014) Measuring the institutional efficiency using DEA and AHP: The case of a Mexican university</v>
      </c>
      <c r="D31" s="6" t="str">
        <f>IF(Referencias!G31="","",Referencias!G31)</f>
        <v>Combina el Análisis Envolvente de Datos con el Proceso de Análisis Jerárquico (AHP) para evaluar la eficiencia institucional y la gestión con múltiples entradas y salidas en el ámbito universitario público en México</v>
      </c>
      <c r="E31" s="5" t="s">
        <v>240</v>
      </c>
      <c r="F31" s="5" t="s">
        <v>388</v>
      </c>
      <c r="G31" s="5" t="s">
        <v>389</v>
      </c>
    </row>
    <row r="32" spans="1:7" ht="85.5" x14ac:dyDescent="0.25">
      <c r="A32" s="6" t="str">
        <f>Referencias!A32</f>
        <v>R31</v>
      </c>
      <c r="B32" s="6" t="str">
        <f>IF(Referencias!D32="","",Referencias!D32)</f>
        <v>A</v>
      </c>
      <c r="C32" s="6" t="str">
        <f>IF(Referencias!E32="","",Referencias!E32)</f>
        <v>Zuluaga, R., Delahoz-Domínguez, E. J., &amp; Ojeda, H. (2020). Eficiencia académica estudiantil: un enfoque de análisis de componentes principales y análisis envolvente de datos.</v>
      </c>
      <c r="D32" s="6" t="str">
        <f>IF(Referencias!G32="","",Referencias!G32)</f>
        <v>Propone combinar PCA y DEA para medir la eficiencia académica a partir de los resultados de Saber Pro 2018 y encuentra que solo el 16,67 % de las unidades analizadas fueron eficientes, identificando competencias específicas susceptibles de mejora.</v>
      </c>
      <c r="E32" s="5" t="s">
        <v>240</v>
      </c>
      <c r="F32" s="5" t="s">
        <v>390</v>
      </c>
      <c r="G32" s="5" t="s">
        <v>391</v>
      </c>
    </row>
    <row r="33" spans="1:8" ht="85.5" x14ac:dyDescent="0.25">
      <c r="A33" s="6" t="str">
        <f>Referencias!A33</f>
        <v>R32</v>
      </c>
      <c r="B33" s="6" t="str">
        <f>IF(Referencias!D33="","",Referencias!D33)</f>
        <v>A</v>
      </c>
      <c r="C33" s="6" t="str">
        <f>IF(Referencias!E33="","",Referencias!E33)</f>
        <v>De La Hoz, E., Zuluaga, R., &amp; Mendoza, A. (2021). Assessing and Classification of Academic Efficiency in Engineering Teaching Programs.</v>
      </c>
      <c r="D33" s="6" t="str">
        <f>IF(Referencias!G33="","",Referencias!G33)</f>
        <v>Es muy pertinente para tu problema porque define explícitamente los Saber 11 como inputs y los Saber Pro como outputs del DEA, aplicándolo a 265 programas de ingeniería y resaltando la importancia de comparar instituciones con características similares.</v>
      </c>
      <c r="E33" s="5" t="s">
        <v>240</v>
      </c>
      <c r="F33" s="5" t="s">
        <v>392</v>
      </c>
      <c r="G33" s="5" t="s">
        <v>393</v>
      </c>
    </row>
    <row r="34" spans="1:8" ht="99.75" x14ac:dyDescent="0.25">
      <c r="A34" s="6" t="str">
        <f>Referencias!A34</f>
        <v>R33</v>
      </c>
      <c r="B34" s="6" t="str">
        <f>IF(Referencias!D34="","",Referencias!D34)</f>
        <v>A</v>
      </c>
      <c r="C34" s="6" t="str">
        <f>IF(Referencias!E34="","",Referencias!E34)</f>
        <v>Zuluaga, R., Camelo-Guarín, A., &amp; De La Hoz, E. (2023). Assessing the Relative Impact of Colombian Higher Education Institutions Using Fuzzy Data Envelopment Analysis (Fuzzy-DEA) in State Evaluations.</v>
      </c>
      <c r="D34" s="6" t="str">
        <f>IF(Referencias!G34="","",Referencias!G34)</f>
        <v>Aplica Fuzzy-DEA a 92 instituciones y 4.976 estudiantes de Ingeniería Industrial, usando Saber 11 como inputs y Saber Pro como outputs, y muestra cómo la frontera de eficiencia puede interpretarse como una ruta de incremento de resultados entre ambas pruebas.</v>
      </c>
      <c r="E34" s="5" t="s">
        <v>240</v>
      </c>
      <c r="F34" s="5" t="s">
        <v>394</v>
      </c>
      <c r="G34" s="5" t="s">
        <v>395</v>
      </c>
    </row>
    <row r="35" spans="1:8" ht="114" x14ac:dyDescent="0.25">
      <c r="A35" s="6" t="str">
        <f>Referencias!A35</f>
        <v>R34</v>
      </c>
      <c r="B35" s="6" t="str">
        <f>IF(Referencias!D35="","",Referencias!D35)</f>
        <v>A</v>
      </c>
      <c r="C35" s="6" t="str">
        <f>IF(Referencias!E35="","",Referencias!E35)</f>
        <v>Mendoza-Mendoza, A., De La Hoz-Domínguez, E. J., &amp; Visbal-Cadavid, D. (2023). Classification of industrial engineering programs in Colombia based on state tests.</v>
      </c>
      <c r="D35" s="6" t="str">
        <f>IF(Referencias!G35="","",Referencias!G35)</f>
        <v>Utiliza un DEA-BCC orientado a outputs, con resultados de Saber 11 como entradas y Saber Pro como salidas, para 5.318 estudiantes de 93 IES; las eficiencias obtenidas permiten clasificar los programas en tres grupos y muestran directamente la utilidad de tratar el resultado de egreso como producto educativo.</v>
      </c>
      <c r="E35" s="5" t="s">
        <v>240</v>
      </c>
      <c r="F35" s="5" t="s">
        <v>396</v>
      </c>
      <c r="G35" s="5" t="s">
        <v>393</v>
      </c>
    </row>
    <row r="36" spans="1:8" ht="99.75" x14ac:dyDescent="0.25">
      <c r="A36" s="6" t="str">
        <f>Referencias!A36</f>
        <v>R35</v>
      </c>
      <c r="B36" s="6" t="str">
        <f>IF(Referencias!D36="","",Referencias!D36)</f>
        <v>A</v>
      </c>
      <c r="C36" s="6" t="str">
        <f>IF(Referencias!E36="","",Referencias!E36)</f>
        <v>Marques, F. C., Davoglio, G. R., Gabardo da Camara, M. R., do Nascimento, S. P., &amp; Ferreira, C. R. (2021). Efficiency Comparison Between Public and Private Higher Education Institutions in the Academic Performance of Economics Senior Students.</v>
      </c>
      <c r="D36" s="6" t="str">
        <f>IF(Referencias!G36="","",Referencias!G36)</f>
        <v>Para ENADE, desarrolla una DEA descompuesta en una componente asociada al desempeño del estudiante y otra a la eficiencia de la IES, utilizando los resultados de estudiantes de Economía de 2012 y 2015 y controlando además factores socioeconómicos.</v>
      </c>
      <c r="E36" s="5" t="s">
        <v>240</v>
      </c>
      <c r="F36" s="5" t="s">
        <v>397</v>
      </c>
      <c r="G36" s="5" t="s">
        <v>393</v>
      </c>
    </row>
    <row r="37" spans="1:8" ht="71.25" x14ac:dyDescent="0.25">
      <c r="A37" s="6" t="str">
        <f>Referencias!A37</f>
        <v>R36</v>
      </c>
      <c r="B37" s="6" t="str">
        <f>IF(Referencias!D37="","",Referencias!D37)</f>
        <v>B</v>
      </c>
      <c r="C37" s="6" t="str">
        <f>IF(Referencias!E37="","",Referencias!E37)</f>
        <v>Zuluaga-Ortiz, R., Delahoz-Domínguez, E. J., &amp; Camelo-Guarín, A. (2022). Academic efficiency of engineering university degrees and its driving factors. A PLS-DEA approach. Journal of International Studies.</v>
      </c>
      <c r="D37" s="6" t="str">
        <f>IF(Referencias!G37="","",Referencias!G37)</f>
        <v>Usa explícitamente los resultados de Saber Pro como outputs y los de Saber 11 como inputs para modelar la transformación educativa en programas de ingeniería en Colombia.</v>
      </c>
      <c r="E37" s="5" t="s">
        <v>240</v>
      </c>
      <c r="F37" s="25" t="s">
        <v>398</v>
      </c>
      <c r="G37" s="5" t="s">
        <v>399</v>
      </c>
    </row>
    <row r="38" spans="1:8" ht="85.5" x14ac:dyDescent="0.25">
      <c r="A38" s="6" t="str">
        <f>Referencias!A38</f>
        <v>R37</v>
      </c>
      <c r="B38" s="6" t="str">
        <f>IF(Referencias!D38="","",Referencias!D38)</f>
        <v>B</v>
      </c>
      <c r="C38" s="6" t="str">
        <f>IF(Referencias!E38="","",Referencias!E38)</f>
        <v>Visbal-Cadavid, D., Martínez-Gómez, M., &amp; Guijarro, F. (2017). Assessing the Efficiency of Public Universities through DEA. A Case Study. Sustainability.</v>
      </c>
      <c r="D38" s="6" t="str">
        <f>IF(Referencias!G38="","",Referencias!G38)</f>
        <v>Incluye Saber Pro Top Quintile como variable de producto en un DEA orientado a outputs para universidades públicas colombianas, y muestra que casi todas las IES ineficientes requerían mejorar ese resultado para alcanzar la frontera.</v>
      </c>
      <c r="E38" s="5" t="s">
        <v>240</v>
      </c>
      <c r="F38" s="5" t="s">
        <v>400</v>
      </c>
      <c r="G38" s="5" t="s">
        <v>401</v>
      </c>
      <c r="H38" s="24"/>
    </row>
    <row r="39" spans="1:8" ht="99.75" x14ac:dyDescent="0.25">
      <c r="A39" s="6" t="str">
        <f>Referencias!A39</f>
        <v>R38</v>
      </c>
      <c r="B39" s="6" t="str">
        <f>IF(Referencias!D39="","",Referencias!D39)</f>
        <v>B</v>
      </c>
      <c r="C39" s="6" t="str">
        <f>IF(Referencias!E39="","",Referencias!E39)</f>
        <v>Tavares, R. S., Angulo-Meza, L., &amp; Sant'Anna, A. P. (2021). A proposed multistage evaluation approach for Higher Education Institutions based on network Data envelopment analysis: A Brazilian experience. Evaluation and Program Planning.</v>
      </c>
      <c r="D39" s="6" t="str">
        <f>IF(Referencias!G39="","",Referencias!G39)</f>
        <v>Propone un Network DEA para 45 universidades federales brasileñas con una etapa de pregrado, consistente con el uso de indicadores de desempeño formativo tipo ENADE dentro de una evaluación multietapa, aunque el extracto no nombra la variable exacta.</v>
      </c>
      <c r="E39" s="5" t="s">
        <v>245</v>
      </c>
      <c r="F39" s="5" t="s">
        <v>402</v>
      </c>
      <c r="G39" s="5" t="s">
        <v>403</v>
      </c>
    </row>
    <row r="40" spans="1:8" ht="71.25" x14ac:dyDescent="0.25">
      <c r="A40" s="6" t="str">
        <f>Referencias!A40</f>
        <v>R39</v>
      </c>
      <c r="B40" s="6" t="str">
        <f>IF(Referencias!D40="","",Referencias!D40)</f>
        <v>B</v>
      </c>
      <c r="C40" s="6" t="str">
        <f>IF(Referencias!E40="","",Referencias!E40)</f>
        <v>Moreno-Gómez, J., Calleja-Blanco, J., &amp; Moreno-Gómez, G. (2019). Measuring the efficiency of the Colombian higher education system: a two-stage approach. International Journal of Educational Management.</v>
      </c>
      <c r="D40" s="6" t="str">
        <f>IF(Referencias!G40="","",Referencias!G40)</f>
        <v>Es un antecedente metodológico útil de DEA en universidades colombianas y de análisis en dos etapas, aunque el extracto disponible no confirma que use Saber Pro como output específico.</v>
      </c>
      <c r="E40" s="5" t="s">
        <v>245</v>
      </c>
      <c r="F40" s="5" t="s">
        <v>404</v>
      </c>
      <c r="G40" s="5" t="s">
        <v>405</v>
      </c>
    </row>
    <row r="41" spans="1:8" ht="114" x14ac:dyDescent="0.25">
      <c r="A41" s="6" t="str">
        <f>Referencias!A41</f>
        <v>R40</v>
      </c>
      <c r="B41" s="6" t="str">
        <f>IF(Referencias!D41="","",Referencias!D41)</f>
        <v>B</v>
      </c>
      <c r="C41" s="6" t="str">
        <f>IF(Referencias!E41="","",Referencias!E41)</f>
        <v>De Witte, K., &amp; López-Torres, L. (2017). Efficiency in education: a review of literature and a way forward. European Journal of Operational Research, 259(2), 432-452.</v>
      </c>
      <c r="D41" s="6" t="str">
        <f>IF(Referencias!G41="","",Referencias!G41)</f>
        <v>Constituye la revisión sistemática definitiva sobre DEA en educación, justificando metodológicamente por qué las calificaciones de pruebas estandarizadas de egreso deben priorizarse como variable de producto (output) para capturar la calidad del aprendizaje, en lugar de utilizar únicamente tasas de graduación.</v>
      </c>
      <c r="E41" s="5" t="s">
        <v>245</v>
      </c>
      <c r="F41" s="5" t="s">
        <v>406</v>
      </c>
      <c r="G41" s="5" t="s">
        <v>407</v>
      </c>
    </row>
    <row r="42" spans="1:8" ht="71.25" x14ac:dyDescent="0.25">
      <c r="A42" s="6" t="str">
        <f>Referencias!A42</f>
        <v>R41</v>
      </c>
      <c r="B42" s="6" t="str">
        <f>IF(Referencias!D42="","",Referencias!D42)</f>
        <v>C</v>
      </c>
      <c r="C42" s="6" t="str">
        <f>IF(Referencias!E42="","",Referencias!E42)</f>
        <v>Melo-Becerra, L. A., Ramos-Forero, J. E., &amp; Hernández-Santamaría, P. O. (2017). La educación superior en Colombia: situación actual y análisis de eficiencia. Desarrollo y Sociedad, (78), 59-111.</v>
      </c>
      <c r="D42" s="6" t="str">
        <f>IF(Referencias!G42="","",Referencias!G42)</f>
        <v>Incorpora explícitamente el desempeño en las pruebas Saber Pro como variable de producto (output) en un modelo DEA para evaluar la calidad educativa y la eficiencia técnica de las universidades colombianas.</v>
      </c>
      <c r="E42" s="5" t="s">
        <v>240</v>
      </c>
      <c r="F42" s="5" t="s">
        <v>408</v>
      </c>
      <c r="G42" s="5" t="s">
        <v>409</v>
      </c>
    </row>
    <row r="43" spans="1:8" ht="71.25" x14ac:dyDescent="0.25">
      <c r="A43" s="6" t="str">
        <f>Referencias!A43</f>
        <v>R42</v>
      </c>
      <c r="B43" s="6" t="str">
        <f>IF(Referencias!D43="","",Referencias!D43)</f>
        <v>C</v>
      </c>
      <c r="C43" s="6" t="str">
        <f>IF(Referencias!E43="","",Referencias!E43)</f>
        <v>Zoghbi, A. C., Rocha, F., &amp; Mattos, E. (2013). Education production efficiency: Evidence from Brazilian universities. Economic Modelling, 31, 94-103.</v>
      </c>
      <c r="D43" s="6" t="str">
        <f>IF(Referencias!G43="","",Referencias!G43)</f>
        <v>Utiliza la diferencia de puntajes entre estudiantes de primer y último año en el ENADE brasileño como proxy del valor agregado y producto educativo dentro de un análisis de eficiencia universitaria.</v>
      </c>
      <c r="E43" s="5" t="s">
        <v>240</v>
      </c>
      <c r="F43" s="25" t="s">
        <v>410</v>
      </c>
      <c r="G43" s="5" t="s">
        <v>411</v>
      </c>
    </row>
    <row r="44" spans="1:8" ht="85.5" x14ac:dyDescent="0.25">
      <c r="A44" s="6" t="str">
        <f>Referencias!A44</f>
        <v>R43</v>
      </c>
      <c r="B44" s="6" t="str">
        <f>IF(Referencias!D44="","",Referencias!D44)</f>
        <v>C</v>
      </c>
      <c r="C44" s="6" t="str">
        <f>IF(Referencias!E44="","",Referencias!E44)</f>
        <v>Visbal-Cadavid, D., Mendoza-Mendoza, A., &amp; Causado-Rodríguez, E. (2016). Eficiencia en las instituciones de educación superior públicas colombianas: una aplicación del análisis envolvente de datos. Civilizar. Ciencias Sociales y Humanas, 16(30), 105-118.</v>
      </c>
      <c r="D44" s="6" t="str">
        <f>IF(Referencias!G44="","",Referencias!G44)</f>
        <v>Operacionaliza la calidad institucional en un modelo DEA orientado a salidas utilizando como output el número de estudiantes con desempeño en el quintil superior de las pruebas Saber Pro.</v>
      </c>
      <c r="E44" s="5" t="s">
        <v>240</v>
      </c>
      <c r="F44" s="5" t="s">
        <v>412</v>
      </c>
      <c r="G44" s="5" t="s">
        <v>409</v>
      </c>
    </row>
    <row r="45" spans="1:8" ht="85.5" x14ac:dyDescent="0.25">
      <c r="A45" s="6" t="str">
        <f>Referencias!A45</f>
        <v>R44</v>
      </c>
      <c r="B45" s="6" t="str">
        <f>IF(Referencias!D45="","",Referencias!D45)</f>
        <v>C</v>
      </c>
      <c r="C45" s="6" t="str">
        <f>IF(Referencias!E45="","",Referencias!E45)</f>
        <v>Machado, R. N., &amp; Viana, J. C. (2014). Eficiência dos cursos de graduação no Brasil: Uma análise utilizando o Enade. Revista Brasileira de Estudos Pedagógicos, 95(241), 606-625.</v>
      </c>
      <c r="D45" s="6" t="str">
        <f>IF(Referencias!G45="","",Referencias!G45)</f>
        <v>Demuestra metodológicamente cómo los resultados brutos de la prueba estandarizada ENADE pueden ser utilizados como variable de salida directa en modelos DEA para rankear la eficiencia de programas de pregrado.</v>
      </c>
      <c r="E45" s="5" t="s">
        <v>258</v>
      </c>
      <c r="F45" s="5" t="s">
        <v>413</v>
      </c>
      <c r="G45" s="5" t="s">
        <v>414</v>
      </c>
    </row>
    <row r="46" spans="1:8" ht="71.25" x14ac:dyDescent="0.25">
      <c r="A46" s="6" t="str">
        <f>Referencias!A46</f>
        <v>R45</v>
      </c>
      <c r="B46" s="6" t="str">
        <f>IF(Referencias!D46="","",Referencias!D46)</f>
        <v>C</v>
      </c>
      <c r="C46" s="6" t="str">
        <f>IF(Referencias!E46="","",Referencias!E46)</f>
        <v>Visbal-Cadavid, D., Martínez-Gómez, M., &amp; Guijarro, F. (2017). Assessing the Efficiency of Public Universities through DEA. A Case Study. Sustainability, 9(8), 1416.</v>
      </c>
      <c r="D46" s="6" t="str">
        <f>IF(Referencias!G46="","",Referencias!G46)</f>
        <v>Evalúa 32 universidades públicas y consolida la metodología de medir la calidad de los egresados introduciendo en la frontera DEA el número ponderado de estudiantes en el quintil superior de Saber Pro.</v>
      </c>
      <c r="E46" s="5" t="s">
        <v>240</v>
      </c>
      <c r="F46" s="5" t="s">
        <v>415</v>
      </c>
      <c r="G46" s="25" t="s">
        <v>409</v>
      </c>
    </row>
    <row r="47" spans="1:8" x14ac:dyDescent="0.25">
      <c r="A47" s="6" t="str">
        <f>Referencias!A47</f>
        <v>R46</v>
      </c>
      <c r="B47" s="6" t="str">
        <f>IF(Referencias!D47="","",Referencias!D47)</f>
        <v/>
      </c>
      <c r="C47" s="6" t="str">
        <f>IF(Referencias!E47="","",Referencias!E47)</f>
        <v/>
      </c>
      <c r="D47" s="6" t="str">
        <f>IF(Referencias!G47="","",Referencias!G47)</f>
        <v/>
      </c>
      <c r="E47" s="5"/>
      <c r="F47" s="5"/>
      <c r="G47" s="5"/>
    </row>
    <row r="48" spans="1:8" x14ac:dyDescent="0.25">
      <c r="A48" s="6" t="str">
        <f>Referencias!A48</f>
        <v>R47</v>
      </c>
      <c r="B48" s="6" t="str">
        <f>IF(Referencias!D48="","",Referencias!D48)</f>
        <v/>
      </c>
      <c r="C48" s="6" t="str">
        <f>IF(Referencias!E48="","",Referencias!E48)</f>
        <v/>
      </c>
      <c r="D48" s="6" t="str">
        <f>IF(Referencias!G48="","",Referencias!G48)</f>
        <v/>
      </c>
      <c r="E48" s="5"/>
      <c r="F48" s="5"/>
      <c r="G48" s="5"/>
    </row>
    <row r="49" spans="1:7" x14ac:dyDescent="0.25">
      <c r="A49" s="6" t="str">
        <f>Referencias!A49</f>
        <v>R48</v>
      </c>
      <c r="B49" s="6" t="str">
        <f>IF(Referencias!D49="","",Referencias!D49)</f>
        <v/>
      </c>
      <c r="C49" s="6" t="str">
        <f>IF(Referencias!E49="","",Referencias!E49)</f>
        <v/>
      </c>
      <c r="D49" s="6" t="str">
        <f>IF(Referencias!G49="","",Referencias!G49)</f>
        <v/>
      </c>
      <c r="E49" s="5"/>
      <c r="F49" s="5"/>
      <c r="G49" s="5"/>
    </row>
    <row r="50" spans="1:7" x14ac:dyDescent="0.25">
      <c r="A50" s="6" t="str">
        <f>Referencias!A50</f>
        <v>R49</v>
      </c>
      <c r="B50" s="6" t="str">
        <f>IF(Referencias!D50="","",Referencias!D50)</f>
        <v/>
      </c>
      <c r="C50" s="6" t="str">
        <f>IF(Referencias!E50="","",Referencias!E50)</f>
        <v/>
      </c>
      <c r="D50" s="6" t="str">
        <f>IF(Referencias!G50="","",Referencias!G50)</f>
        <v/>
      </c>
      <c r="E50" s="5"/>
      <c r="F50" s="5"/>
      <c r="G50" s="5"/>
    </row>
    <row r="51" spans="1:7" x14ac:dyDescent="0.25">
      <c r="A51" s="6" t="str">
        <f>Referencias!A51</f>
        <v>R50</v>
      </c>
      <c r="B51" s="6" t="str">
        <f>IF(Referencias!D51="","",Referencias!D51)</f>
        <v/>
      </c>
      <c r="C51" s="6" t="str">
        <f>IF(Referencias!E51="","",Referencias!E51)</f>
        <v/>
      </c>
      <c r="D51" s="6" t="str">
        <f>IF(Referencias!G51="","",Referencias!G51)</f>
        <v/>
      </c>
      <c r="E51" s="5"/>
      <c r="F51" s="5"/>
      <c r="G51" s="5"/>
    </row>
    <row r="52" spans="1:7" x14ac:dyDescent="0.25">
      <c r="A52" s="6" t="str">
        <f>Referencias!A52</f>
        <v>R51</v>
      </c>
      <c r="B52" s="6" t="str">
        <f>IF(Referencias!D52="","",Referencias!D52)</f>
        <v/>
      </c>
      <c r="C52" s="6" t="str">
        <f>IF(Referencias!E52="","",Referencias!E52)</f>
        <v/>
      </c>
      <c r="D52" s="6" t="str">
        <f>IF(Referencias!G52="","",Referencias!G52)</f>
        <v/>
      </c>
      <c r="E52" s="5"/>
      <c r="F52" s="5"/>
      <c r="G52" s="5"/>
    </row>
    <row r="53" spans="1:7" x14ac:dyDescent="0.25">
      <c r="A53" s="6" t="str">
        <f>Referencias!A53</f>
        <v>R52</v>
      </c>
      <c r="B53" s="6" t="str">
        <f>IF(Referencias!D53="","",Referencias!D53)</f>
        <v/>
      </c>
      <c r="C53" s="6" t="str">
        <f>IF(Referencias!E53="","",Referencias!E53)</f>
        <v/>
      </c>
      <c r="D53" s="6" t="str">
        <f>IF(Referencias!G53="","",Referencias!G53)</f>
        <v/>
      </c>
      <c r="E53" s="5"/>
      <c r="F53" s="5"/>
      <c r="G53" s="5"/>
    </row>
    <row r="54" spans="1:7" x14ac:dyDescent="0.25">
      <c r="A54" s="6" t="str">
        <f>Referencias!A54</f>
        <v>R53</v>
      </c>
      <c r="B54" s="6" t="str">
        <f>IF(Referencias!D54="","",Referencias!D54)</f>
        <v/>
      </c>
      <c r="C54" s="6" t="str">
        <f>IF(Referencias!E54="","",Referencias!E54)</f>
        <v/>
      </c>
      <c r="D54" s="6" t="str">
        <f>IF(Referencias!G54="","",Referencias!G54)</f>
        <v/>
      </c>
      <c r="E54" s="5"/>
      <c r="F54" s="5"/>
      <c r="G54" s="5"/>
    </row>
    <row r="55" spans="1:7" x14ac:dyDescent="0.25">
      <c r="A55" s="6" t="str">
        <f>Referencias!A55</f>
        <v>R54</v>
      </c>
      <c r="B55" s="6" t="str">
        <f>IF(Referencias!D55="","",Referencias!D55)</f>
        <v/>
      </c>
      <c r="C55" s="6" t="str">
        <f>IF(Referencias!E55="","",Referencias!E55)</f>
        <v/>
      </c>
      <c r="D55" s="6" t="str">
        <f>IF(Referencias!G55="","",Referencias!G55)</f>
        <v/>
      </c>
      <c r="E55" s="5"/>
      <c r="F55" s="5"/>
      <c r="G55" s="5"/>
    </row>
    <row r="56" spans="1:7" x14ac:dyDescent="0.25">
      <c r="A56" s="6" t="str">
        <f>Referencias!A56</f>
        <v>R55</v>
      </c>
      <c r="B56" s="6" t="str">
        <f>IF(Referencias!D56="","",Referencias!D56)</f>
        <v/>
      </c>
      <c r="C56" s="6" t="str">
        <f>IF(Referencias!E56="","",Referencias!E56)</f>
        <v/>
      </c>
      <c r="D56" s="6" t="str">
        <f>IF(Referencias!G56="","",Referencias!G56)</f>
        <v/>
      </c>
      <c r="E56" s="5"/>
      <c r="F56" s="5"/>
      <c r="G56" s="5"/>
    </row>
    <row r="57" spans="1:7" x14ac:dyDescent="0.25">
      <c r="A57" s="6" t="str">
        <f>Referencias!A57</f>
        <v>R56</v>
      </c>
      <c r="B57" s="6" t="str">
        <f>IF(Referencias!D57="","",Referencias!D57)</f>
        <v/>
      </c>
      <c r="C57" s="6" t="str">
        <f>IF(Referencias!E57="","",Referencias!E57)</f>
        <v/>
      </c>
      <c r="D57" s="6" t="str">
        <f>IF(Referencias!G57="","",Referencias!G57)</f>
        <v/>
      </c>
      <c r="E57" s="5"/>
      <c r="F57" s="5"/>
      <c r="G57" s="5"/>
    </row>
    <row r="58" spans="1:7" x14ac:dyDescent="0.25">
      <c r="A58" s="6" t="str">
        <f>Referencias!A58</f>
        <v>R57</v>
      </c>
      <c r="B58" s="6" t="str">
        <f>IF(Referencias!D58="","",Referencias!D58)</f>
        <v/>
      </c>
      <c r="C58" s="6" t="str">
        <f>IF(Referencias!E58="","",Referencias!E58)</f>
        <v/>
      </c>
      <c r="D58" s="6" t="str">
        <f>IF(Referencias!G58="","",Referencias!G58)</f>
        <v/>
      </c>
      <c r="E58" s="5"/>
      <c r="F58" s="5"/>
      <c r="G58" s="5"/>
    </row>
    <row r="59" spans="1:7" x14ac:dyDescent="0.25">
      <c r="A59" s="6" t="str">
        <f>Referencias!A59</f>
        <v>R58</v>
      </c>
      <c r="B59" s="6" t="str">
        <f>IF(Referencias!D59="","",Referencias!D59)</f>
        <v/>
      </c>
      <c r="C59" s="6" t="str">
        <f>IF(Referencias!E59="","",Referencias!E59)</f>
        <v/>
      </c>
      <c r="D59" s="6" t="str">
        <f>IF(Referencias!G59="","",Referencias!G59)</f>
        <v/>
      </c>
      <c r="E59" s="5"/>
      <c r="F59" s="5"/>
      <c r="G59" s="5"/>
    </row>
    <row r="60" spans="1:7" x14ac:dyDescent="0.25">
      <c r="A60" s="6" t="str">
        <f>Referencias!A60</f>
        <v>R59</v>
      </c>
      <c r="B60" s="6" t="str">
        <f>IF(Referencias!D60="","",Referencias!D60)</f>
        <v/>
      </c>
      <c r="C60" s="6" t="str">
        <f>IF(Referencias!E60="","",Referencias!E60)</f>
        <v/>
      </c>
      <c r="D60" s="6" t="str">
        <f>IF(Referencias!G60="","",Referencias!G60)</f>
        <v/>
      </c>
      <c r="E60" s="5"/>
      <c r="F60" s="5"/>
      <c r="G60" s="5"/>
    </row>
    <row r="61" spans="1:7" x14ac:dyDescent="0.25">
      <c r="A61" s="6" t="str">
        <f>Referencias!A61</f>
        <v>R60</v>
      </c>
      <c r="B61" s="6" t="str">
        <f>IF(Referencias!D61="","",Referencias!D61)</f>
        <v/>
      </c>
      <c r="C61" s="6" t="str">
        <f>IF(Referencias!E61="","",Referencias!E61)</f>
        <v/>
      </c>
      <c r="D61" s="6" t="str">
        <f>IF(Referencias!G61="","",Referencias!G61)</f>
        <v/>
      </c>
      <c r="E61" s="5"/>
      <c r="F61" s="5"/>
      <c r="G61" s="5"/>
    </row>
    <row r="62" spans="1:7" x14ac:dyDescent="0.25">
      <c r="A62" s="6" t="str">
        <f>Referencias!A62</f>
        <v>R61</v>
      </c>
      <c r="B62" s="6" t="str">
        <f>IF(Referencias!D62="","",Referencias!D62)</f>
        <v/>
      </c>
      <c r="C62" s="6" t="str">
        <f>IF(Referencias!E62="","",Referencias!E62)</f>
        <v/>
      </c>
      <c r="D62" s="6" t="str">
        <f>IF(Referencias!G62="","",Referencias!G62)</f>
        <v/>
      </c>
      <c r="E62" s="5"/>
      <c r="F62" s="5"/>
      <c r="G62" s="5"/>
    </row>
    <row r="63" spans="1:7" x14ac:dyDescent="0.25">
      <c r="A63" s="6" t="str">
        <f>Referencias!A63</f>
        <v>R62</v>
      </c>
      <c r="B63" s="6" t="str">
        <f>IF(Referencias!D63="","",Referencias!D63)</f>
        <v/>
      </c>
      <c r="C63" s="6" t="str">
        <f>IF(Referencias!E63="","",Referencias!E63)</f>
        <v/>
      </c>
      <c r="D63" s="6" t="str">
        <f>IF(Referencias!G63="","",Referencias!G63)</f>
        <v/>
      </c>
      <c r="E63" s="5"/>
      <c r="F63" s="5"/>
      <c r="G63" s="5"/>
    </row>
    <row r="64" spans="1:7" x14ac:dyDescent="0.25">
      <c r="A64" s="6" t="str">
        <f>Referencias!A64</f>
        <v>R63</v>
      </c>
      <c r="B64" s="6" t="str">
        <f>IF(Referencias!D64="","",Referencias!D64)</f>
        <v/>
      </c>
      <c r="C64" s="6" t="str">
        <f>IF(Referencias!E64="","",Referencias!E64)</f>
        <v/>
      </c>
      <c r="D64" s="6" t="str">
        <f>IF(Referencias!G64="","",Referencias!G64)</f>
        <v/>
      </c>
      <c r="E64" s="5"/>
      <c r="F64" s="5"/>
      <c r="G64" s="5"/>
    </row>
    <row r="65" spans="1:7" x14ac:dyDescent="0.25">
      <c r="A65" s="6" t="str">
        <f>Referencias!A65</f>
        <v>R64</v>
      </c>
      <c r="B65" s="6" t="str">
        <f>IF(Referencias!D65="","",Referencias!D65)</f>
        <v/>
      </c>
      <c r="C65" s="6" t="str">
        <f>IF(Referencias!E65="","",Referencias!E65)</f>
        <v/>
      </c>
      <c r="D65" s="6" t="str">
        <f>IF(Referencias!G65="","",Referencias!G65)</f>
        <v/>
      </c>
      <c r="E65" s="5"/>
      <c r="F65" s="5"/>
      <c r="G65" s="5"/>
    </row>
    <row r="66" spans="1:7" x14ac:dyDescent="0.25">
      <c r="A66" s="6" t="str">
        <f>Referencias!A66</f>
        <v>R65</v>
      </c>
      <c r="B66" s="6" t="str">
        <f>IF(Referencias!D66="","",Referencias!D66)</f>
        <v/>
      </c>
      <c r="C66" s="6" t="str">
        <f>IF(Referencias!E66="","",Referencias!E66)</f>
        <v/>
      </c>
      <c r="D66" s="6" t="str">
        <f>IF(Referencias!G66="","",Referencias!G66)</f>
        <v/>
      </c>
      <c r="E66" s="5"/>
      <c r="F66" s="5"/>
      <c r="G66" s="5"/>
    </row>
    <row r="67" spans="1:7" x14ac:dyDescent="0.25">
      <c r="A67" s="6" t="str">
        <f>Referencias!A67</f>
        <v>R66</v>
      </c>
      <c r="B67" s="6" t="str">
        <f>IF(Referencias!D67="","",Referencias!D67)</f>
        <v/>
      </c>
      <c r="C67" s="6" t="str">
        <f>IF(Referencias!E67="","",Referencias!E67)</f>
        <v/>
      </c>
      <c r="D67" s="6" t="str">
        <f>IF(Referencias!G67="","",Referencias!G67)</f>
        <v/>
      </c>
      <c r="E67" s="5"/>
      <c r="F67" s="5"/>
      <c r="G67" s="5"/>
    </row>
    <row r="68" spans="1:7" x14ac:dyDescent="0.25">
      <c r="A68" s="6" t="str">
        <f>Referencias!A68</f>
        <v>R67</v>
      </c>
      <c r="B68" s="6" t="str">
        <f>IF(Referencias!D68="","",Referencias!D68)</f>
        <v/>
      </c>
      <c r="C68" s="6" t="str">
        <f>IF(Referencias!E68="","",Referencias!E68)</f>
        <v/>
      </c>
      <c r="D68" s="6" t="str">
        <f>IF(Referencias!G68="","",Referencias!G68)</f>
        <v/>
      </c>
      <c r="E68" s="5"/>
      <c r="F68" s="5"/>
      <c r="G68" s="5"/>
    </row>
    <row r="69" spans="1:7" x14ac:dyDescent="0.25">
      <c r="A69" s="6" t="str">
        <f>Referencias!A69</f>
        <v>R68</v>
      </c>
      <c r="B69" s="6" t="str">
        <f>IF(Referencias!D69="","",Referencias!D69)</f>
        <v/>
      </c>
      <c r="C69" s="6" t="str">
        <f>IF(Referencias!E69="","",Referencias!E69)</f>
        <v/>
      </c>
      <c r="D69" s="6" t="str">
        <f>IF(Referencias!G69="","",Referencias!G69)</f>
        <v/>
      </c>
      <c r="E69" s="5"/>
      <c r="F69" s="5"/>
      <c r="G69" s="5"/>
    </row>
    <row r="70" spans="1:7" x14ac:dyDescent="0.25">
      <c r="A70" s="6" t="str">
        <f>Referencias!A70</f>
        <v>R69</v>
      </c>
      <c r="B70" s="6" t="str">
        <f>IF(Referencias!D70="","",Referencias!D70)</f>
        <v/>
      </c>
      <c r="C70" s="6" t="str">
        <f>IF(Referencias!E70="","",Referencias!E70)</f>
        <v/>
      </c>
      <c r="D70" s="6" t="str">
        <f>IF(Referencias!G70="","",Referencias!G70)</f>
        <v/>
      </c>
      <c r="E70" s="5"/>
      <c r="F70" s="5"/>
      <c r="G70" s="5"/>
    </row>
    <row r="71" spans="1:7" x14ac:dyDescent="0.25">
      <c r="A71" s="6" t="str">
        <f>Referencias!A71</f>
        <v>R70</v>
      </c>
      <c r="B71" s="6" t="str">
        <f>IF(Referencias!D71="","",Referencias!D71)</f>
        <v/>
      </c>
      <c r="C71" s="6" t="str">
        <f>IF(Referencias!E71="","",Referencias!E71)</f>
        <v/>
      </c>
      <c r="D71" s="6" t="str">
        <f>IF(Referencias!G71="","",Referencias!G71)</f>
        <v/>
      </c>
      <c r="E71" s="5"/>
      <c r="F71" s="5"/>
      <c r="G71" s="5"/>
    </row>
    <row r="72" spans="1:7" x14ac:dyDescent="0.25">
      <c r="A72" s="6" t="str">
        <f>Referencias!A72</f>
        <v>R71</v>
      </c>
      <c r="B72" s="6" t="str">
        <f>IF(Referencias!D72="","",Referencias!D72)</f>
        <v/>
      </c>
      <c r="C72" s="6" t="str">
        <f>IF(Referencias!E72="","",Referencias!E72)</f>
        <v/>
      </c>
      <c r="D72" s="6" t="str">
        <f>IF(Referencias!G72="","",Referencias!G72)</f>
        <v/>
      </c>
      <c r="E72" s="5"/>
      <c r="F72" s="5"/>
      <c r="G72" s="5"/>
    </row>
    <row r="73" spans="1:7" x14ac:dyDescent="0.25">
      <c r="A73" s="6" t="str">
        <f>Referencias!A73</f>
        <v>R72</v>
      </c>
      <c r="B73" s="6" t="str">
        <f>IF(Referencias!D73="","",Referencias!D73)</f>
        <v/>
      </c>
      <c r="C73" s="6" t="str">
        <f>IF(Referencias!E73="","",Referencias!E73)</f>
        <v/>
      </c>
      <c r="D73" s="6" t="str">
        <f>IF(Referencias!G73="","",Referencias!G73)</f>
        <v/>
      </c>
      <c r="E73" s="5"/>
      <c r="F73" s="5"/>
      <c r="G73" s="5"/>
    </row>
  </sheetData>
  <dataValidations count="1">
    <dataValidation type="list" allowBlank="1" sqref="E2:E73" xr:uid="{00000000-0002-0000-0400-000000000000}">
      <formula1>"Utilizable,Existe pero no dice eso,No existe"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3"/>
  <sheetViews>
    <sheetView zoomScaleNormal="100" workbookViewId="0">
      <pane ySplit="1" topLeftCell="A2" activePane="bottomLeft" state="frozen"/>
      <selection pane="bottomLeft" activeCell="D46" sqref="D46:F60"/>
    </sheetView>
  </sheetViews>
  <sheetFormatPr baseColWidth="10" defaultColWidth="8.7109375" defaultRowHeight="15" x14ac:dyDescent="0.25"/>
  <cols>
    <col min="1" max="2" width="7" customWidth="1"/>
    <col min="3" max="5" width="20" customWidth="1"/>
    <col min="6" max="6" width="13.5703125" customWidth="1"/>
    <col min="7" max="7" width="13.28515625" customWidth="1"/>
    <col min="8" max="8" width="19" customWidth="1"/>
    <col min="9" max="9" width="12.7109375" customWidth="1"/>
    <col min="10" max="10" width="24" customWidth="1"/>
    <col min="11" max="11" width="10" customWidth="1"/>
    <col min="12" max="13" width="9" customWidth="1"/>
    <col min="14" max="14" width="12.28515625" customWidth="1"/>
    <col min="15" max="15" width="9" customWidth="1"/>
    <col min="16" max="16" width="16" customWidth="1"/>
  </cols>
  <sheetData>
    <row r="1" spans="1:16" ht="60" x14ac:dyDescent="0.25">
      <c r="A1" s="3" t="s">
        <v>16</v>
      </c>
      <c r="B1" s="3" t="s">
        <v>416</v>
      </c>
      <c r="C1" s="3" t="s">
        <v>24</v>
      </c>
      <c r="D1" s="3" t="s">
        <v>88</v>
      </c>
      <c r="E1" s="3" t="s">
        <v>148</v>
      </c>
      <c r="F1" s="3" t="s">
        <v>417</v>
      </c>
      <c r="G1" s="3" t="s">
        <v>418</v>
      </c>
      <c r="H1" s="3" t="s">
        <v>419</v>
      </c>
      <c r="I1" s="3" t="s">
        <v>420</v>
      </c>
      <c r="J1" s="3" t="s">
        <v>421</v>
      </c>
      <c r="K1" s="3" t="s">
        <v>422</v>
      </c>
      <c r="L1" s="3" t="s">
        <v>423</v>
      </c>
      <c r="M1" s="3" t="s">
        <v>424</v>
      </c>
      <c r="N1" s="3" t="s">
        <v>425</v>
      </c>
      <c r="O1" s="3" t="s">
        <v>426</v>
      </c>
      <c r="P1" s="3" t="s">
        <v>427</v>
      </c>
    </row>
    <row r="2" spans="1:16" x14ac:dyDescent="0.25">
      <c r="A2" s="7" t="str">
        <f>Referencias!A2</f>
        <v>R01</v>
      </c>
      <c r="B2" s="7" t="str">
        <f>IF(Referencias!D2="","",Referencias!D2)</f>
        <v>A</v>
      </c>
      <c r="C2" s="7" t="str">
        <f>IF(Clasif_Isabella!E2="","",Clasif_Isabella!E2)</f>
        <v>Utilizable</v>
      </c>
      <c r="D2" s="7" t="str">
        <f>IF(Clasif_Eduar!E2="","",Clasif_Eduar!E2)</f>
        <v>Utilizable</v>
      </c>
      <c r="E2" s="7" t="str">
        <f>IF(Clasif_Anderson!E2="","",Clasif_Anderson!E2)</f>
        <v>Utilizable</v>
      </c>
      <c r="F2" s="7">
        <f t="shared" ref="F2:F33" si="0">IF(AND(B2&lt;&gt;"",C2&lt;&gt;"",D2&lt;&gt;"",E2&lt;&gt;""),1,0)</f>
        <v>1</v>
      </c>
      <c r="G2" s="7">
        <f t="shared" ref="G2:G33" si="1">IF(F2=1,COUNTIF(C2:E2,"Utilizable"),"")</f>
        <v>3</v>
      </c>
      <c r="H2" s="7">
        <f t="shared" ref="H2:H33" si="2">IF(F2=1,COUNTIF(C2:E2,"Existe pero no dice eso"),"")</f>
        <v>0</v>
      </c>
      <c r="I2" s="7">
        <f t="shared" ref="I2:I33" si="3">IF(F2=1,COUNTIF(C2:E2,"No existe"),"")</f>
        <v>0</v>
      </c>
      <c r="J2" s="7" t="str">
        <f t="shared" ref="J2:J33" si="4">IF(F2=1,IF(G2&gt;=2,"Utilizable",IF(H2&gt;=2,"Existe pero no dice eso",IF(I2&gt;=2,"No existe","Sin mayoría"))),"")</f>
        <v>Utilizable</v>
      </c>
      <c r="K2" s="7">
        <f t="shared" ref="K2:K33" si="5">IF(F2=1,IF(MAX(G2,H2,I2)=3,1,0),"")</f>
        <v>1</v>
      </c>
      <c r="L2" s="7">
        <f t="shared" ref="L2:L33" si="6">IF(F2=1,IF(C2=D2,1,0),"")</f>
        <v>1</v>
      </c>
      <c r="M2" s="7">
        <f t="shared" ref="M2:M33" si="7">IF(F2=1,IF(C2=E2,1,0),"")</f>
        <v>1</v>
      </c>
      <c r="N2" s="7">
        <f t="shared" ref="N2:N33" si="8">IF(F2=1,IF(D2=E2,1,0),"")</f>
        <v>1</v>
      </c>
      <c r="O2" s="8">
        <f t="shared" ref="O2:O33" si="9">IF(F2=1,(G2^2+H2^2+I2^2-3)/6,"")</f>
        <v>1</v>
      </c>
      <c r="P2" s="7">
        <f t="shared" ref="P2:P33" si="10">IF(F2=1,IF(AND(K2=0,H2&gt;=1),1,0),"")</f>
        <v>0</v>
      </c>
    </row>
    <row r="3" spans="1:16" x14ac:dyDescent="0.25">
      <c r="A3" s="7" t="str">
        <f>Referencias!A3</f>
        <v>R02</v>
      </c>
      <c r="B3" s="7" t="str">
        <f>IF(Referencias!D3="","",Referencias!D3)</f>
        <v>A</v>
      </c>
      <c r="C3" s="7" t="str">
        <f>IF(Clasif_Isabella!E3="","",Clasif_Isabella!E3)</f>
        <v>Utilizable</v>
      </c>
      <c r="D3" s="7" t="str">
        <f>IF(Clasif_Eduar!E3="","",Clasif_Eduar!E3)</f>
        <v>Utilizable</v>
      </c>
      <c r="E3" s="7" t="str">
        <f>IF(Clasif_Anderson!E3="","",Clasif_Anderson!E3)</f>
        <v>Utilizable</v>
      </c>
      <c r="F3" s="7">
        <f t="shared" si="0"/>
        <v>1</v>
      </c>
      <c r="G3" s="7">
        <f t="shared" si="1"/>
        <v>3</v>
      </c>
      <c r="H3" s="7">
        <f t="shared" si="2"/>
        <v>0</v>
      </c>
      <c r="I3" s="7">
        <f t="shared" si="3"/>
        <v>0</v>
      </c>
      <c r="J3" s="7" t="str">
        <f t="shared" si="4"/>
        <v>Utilizable</v>
      </c>
      <c r="K3" s="7">
        <f t="shared" si="5"/>
        <v>1</v>
      </c>
      <c r="L3" s="7">
        <f t="shared" si="6"/>
        <v>1</v>
      </c>
      <c r="M3" s="7">
        <f t="shared" si="7"/>
        <v>1</v>
      </c>
      <c r="N3" s="7">
        <f t="shared" si="8"/>
        <v>1</v>
      </c>
      <c r="O3" s="8">
        <f t="shared" si="9"/>
        <v>1</v>
      </c>
      <c r="P3" s="7">
        <f t="shared" si="10"/>
        <v>0</v>
      </c>
    </row>
    <row r="4" spans="1:16" x14ac:dyDescent="0.25">
      <c r="A4" s="7" t="str">
        <f>Referencias!A4</f>
        <v>R03</v>
      </c>
      <c r="B4" s="7" t="str">
        <f>IF(Referencias!D4="","",Referencias!D4)</f>
        <v>A</v>
      </c>
      <c r="C4" s="7" t="str">
        <f>IF(Clasif_Isabella!E4="","",Clasif_Isabella!E4)</f>
        <v>Existe pero no dice eso</v>
      </c>
      <c r="D4" s="7" t="str">
        <f>IF(Clasif_Eduar!E4="","",Clasif_Eduar!E4)</f>
        <v>Utilizable</v>
      </c>
      <c r="E4" s="7" t="str">
        <f>IF(Clasif_Anderson!E4="","",Clasif_Anderson!E4)</f>
        <v>Existe pero no dice eso</v>
      </c>
      <c r="F4" s="7">
        <f t="shared" si="0"/>
        <v>1</v>
      </c>
      <c r="G4" s="7">
        <f t="shared" si="1"/>
        <v>1</v>
      </c>
      <c r="H4" s="7">
        <f t="shared" si="2"/>
        <v>2</v>
      </c>
      <c r="I4" s="7">
        <f t="shared" si="3"/>
        <v>0</v>
      </c>
      <c r="J4" s="7" t="str">
        <f t="shared" si="4"/>
        <v>Existe pero no dice eso</v>
      </c>
      <c r="K4" s="7">
        <f t="shared" si="5"/>
        <v>0</v>
      </c>
      <c r="L4" s="7">
        <f t="shared" si="6"/>
        <v>0</v>
      </c>
      <c r="M4" s="7">
        <f t="shared" si="7"/>
        <v>1</v>
      </c>
      <c r="N4" s="7">
        <f t="shared" si="8"/>
        <v>0</v>
      </c>
      <c r="O4" s="8">
        <f t="shared" si="9"/>
        <v>0.33333333333333331</v>
      </c>
      <c r="P4" s="7">
        <f t="shared" si="10"/>
        <v>1</v>
      </c>
    </row>
    <row r="5" spans="1:16" x14ac:dyDescent="0.25">
      <c r="A5" s="7" t="str">
        <f>Referencias!A5</f>
        <v>R04</v>
      </c>
      <c r="B5" s="7" t="str">
        <f>IF(Referencias!D5="","",Referencias!D5)</f>
        <v>A</v>
      </c>
      <c r="C5" s="7" t="str">
        <f>IF(Clasif_Isabella!E5="","",Clasif_Isabella!E5)</f>
        <v>Existe pero no dice eso</v>
      </c>
      <c r="D5" s="7" t="str">
        <f>IF(Clasif_Eduar!E5="","",Clasif_Eduar!E5)</f>
        <v>Utilizable</v>
      </c>
      <c r="E5" s="7" t="str">
        <f>IF(Clasif_Anderson!E5="","",Clasif_Anderson!E5)</f>
        <v>Existe pero no dice eso</v>
      </c>
      <c r="F5" s="7">
        <f t="shared" si="0"/>
        <v>1</v>
      </c>
      <c r="G5" s="7">
        <f t="shared" si="1"/>
        <v>1</v>
      </c>
      <c r="H5" s="7">
        <f t="shared" si="2"/>
        <v>2</v>
      </c>
      <c r="I5" s="7">
        <f t="shared" si="3"/>
        <v>0</v>
      </c>
      <c r="J5" s="7" t="str">
        <f t="shared" si="4"/>
        <v>Existe pero no dice eso</v>
      </c>
      <c r="K5" s="7">
        <f t="shared" si="5"/>
        <v>0</v>
      </c>
      <c r="L5" s="7">
        <f t="shared" si="6"/>
        <v>0</v>
      </c>
      <c r="M5" s="7">
        <f t="shared" si="7"/>
        <v>1</v>
      </c>
      <c r="N5" s="7">
        <f t="shared" si="8"/>
        <v>0</v>
      </c>
      <c r="O5" s="8">
        <f t="shared" si="9"/>
        <v>0.33333333333333331</v>
      </c>
      <c r="P5" s="7">
        <f t="shared" si="10"/>
        <v>1</v>
      </c>
    </row>
    <row r="6" spans="1:16" x14ac:dyDescent="0.25">
      <c r="A6" s="7" t="str">
        <f>Referencias!A6</f>
        <v>R05</v>
      </c>
      <c r="B6" s="7" t="str">
        <f>IF(Referencias!D6="","",Referencias!D6)</f>
        <v>A</v>
      </c>
      <c r="C6" s="7" t="str">
        <f>IF(Clasif_Isabella!E6="","",Clasif_Isabella!E6)</f>
        <v>Utilizable</v>
      </c>
      <c r="D6" s="7" t="str">
        <f>IF(Clasif_Eduar!E6="","",Clasif_Eduar!E6)</f>
        <v>Utilizable</v>
      </c>
      <c r="E6" s="7" t="str">
        <f>IF(Clasif_Anderson!E6="","",Clasif_Anderson!E6)</f>
        <v>Utilizable</v>
      </c>
      <c r="F6" s="7">
        <f t="shared" si="0"/>
        <v>1</v>
      </c>
      <c r="G6" s="7">
        <f t="shared" si="1"/>
        <v>3</v>
      </c>
      <c r="H6" s="7">
        <f t="shared" si="2"/>
        <v>0</v>
      </c>
      <c r="I6" s="7">
        <f t="shared" si="3"/>
        <v>0</v>
      </c>
      <c r="J6" s="7" t="str">
        <f t="shared" si="4"/>
        <v>Utilizable</v>
      </c>
      <c r="K6" s="7">
        <f t="shared" si="5"/>
        <v>1</v>
      </c>
      <c r="L6" s="7">
        <f t="shared" si="6"/>
        <v>1</v>
      </c>
      <c r="M6" s="7">
        <f t="shared" si="7"/>
        <v>1</v>
      </c>
      <c r="N6" s="7">
        <f t="shared" si="8"/>
        <v>1</v>
      </c>
      <c r="O6" s="8">
        <f t="shared" si="9"/>
        <v>1</v>
      </c>
      <c r="P6" s="7">
        <f t="shared" si="10"/>
        <v>0</v>
      </c>
    </row>
    <row r="7" spans="1:16" x14ac:dyDescent="0.25">
      <c r="A7" s="7" t="str">
        <f>Referencias!A7</f>
        <v>R06</v>
      </c>
      <c r="B7" s="7" t="str">
        <f>IF(Referencias!D7="","",Referencias!D7)</f>
        <v>B</v>
      </c>
      <c r="C7" s="7" t="str">
        <f>IF(Clasif_Isabella!E7="","",Clasif_Isabella!E7)</f>
        <v>Utilizable</v>
      </c>
      <c r="D7" s="7" t="str">
        <f>IF(Clasif_Eduar!E7="","",Clasif_Eduar!E7)</f>
        <v>Utilizable</v>
      </c>
      <c r="E7" s="7" t="str">
        <f>IF(Clasif_Anderson!E7="","",Clasif_Anderson!E7)</f>
        <v>Utilizable</v>
      </c>
      <c r="F7" s="7">
        <f t="shared" si="0"/>
        <v>1</v>
      </c>
      <c r="G7" s="7">
        <f t="shared" si="1"/>
        <v>3</v>
      </c>
      <c r="H7" s="7">
        <f t="shared" si="2"/>
        <v>0</v>
      </c>
      <c r="I7" s="7">
        <f t="shared" si="3"/>
        <v>0</v>
      </c>
      <c r="J7" s="7" t="str">
        <f t="shared" si="4"/>
        <v>Utilizable</v>
      </c>
      <c r="K7" s="7">
        <f t="shared" si="5"/>
        <v>1</v>
      </c>
      <c r="L7" s="7">
        <f t="shared" si="6"/>
        <v>1</v>
      </c>
      <c r="M7" s="7">
        <f t="shared" si="7"/>
        <v>1</v>
      </c>
      <c r="N7" s="7">
        <f t="shared" si="8"/>
        <v>1</v>
      </c>
      <c r="O7" s="8">
        <f t="shared" si="9"/>
        <v>1</v>
      </c>
      <c r="P7" s="7">
        <f t="shared" si="10"/>
        <v>0</v>
      </c>
    </row>
    <row r="8" spans="1:16" x14ac:dyDescent="0.25">
      <c r="A8" s="7" t="str">
        <f>Referencias!A8</f>
        <v>R07</v>
      </c>
      <c r="B8" s="7" t="str">
        <f>IF(Referencias!D8="","",Referencias!D8)</f>
        <v>B</v>
      </c>
      <c r="C8" s="7" t="str">
        <f>IF(Clasif_Isabella!E8="","",Clasif_Isabella!E8)</f>
        <v>Utilizable</v>
      </c>
      <c r="D8" s="7" t="str">
        <f>IF(Clasif_Eduar!E8="","",Clasif_Eduar!E8)</f>
        <v>Utilizable</v>
      </c>
      <c r="E8" s="7" t="str">
        <f>IF(Clasif_Anderson!E8="","",Clasif_Anderson!E8)</f>
        <v>Utilizable</v>
      </c>
      <c r="F8" s="7">
        <f t="shared" si="0"/>
        <v>1</v>
      </c>
      <c r="G8" s="7">
        <f t="shared" si="1"/>
        <v>3</v>
      </c>
      <c r="H8" s="7">
        <f t="shared" si="2"/>
        <v>0</v>
      </c>
      <c r="I8" s="7">
        <f t="shared" si="3"/>
        <v>0</v>
      </c>
      <c r="J8" s="7" t="str">
        <f t="shared" si="4"/>
        <v>Utilizable</v>
      </c>
      <c r="K8" s="7">
        <f t="shared" si="5"/>
        <v>1</v>
      </c>
      <c r="L8" s="7">
        <f t="shared" si="6"/>
        <v>1</v>
      </c>
      <c r="M8" s="7">
        <f t="shared" si="7"/>
        <v>1</v>
      </c>
      <c r="N8" s="7">
        <f t="shared" si="8"/>
        <v>1</v>
      </c>
      <c r="O8" s="8">
        <f t="shared" si="9"/>
        <v>1</v>
      </c>
      <c r="P8" s="7">
        <f t="shared" si="10"/>
        <v>0</v>
      </c>
    </row>
    <row r="9" spans="1:16" x14ac:dyDescent="0.25">
      <c r="A9" s="7" t="str">
        <f>Referencias!A9</f>
        <v>R08</v>
      </c>
      <c r="B9" s="7" t="str">
        <f>IF(Referencias!D9="","",Referencias!D9)</f>
        <v>B</v>
      </c>
      <c r="C9" s="7" t="str">
        <f>IF(Clasif_Isabella!E9="","",Clasif_Isabella!E9)</f>
        <v>Utilizable</v>
      </c>
      <c r="D9" s="7" t="str">
        <f>IF(Clasif_Eduar!E9="","",Clasif_Eduar!E9)</f>
        <v>Utilizable</v>
      </c>
      <c r="E9" s="7" t="str">
        <f>IF(Clasif_Anderson!E9="","",Clasif_Anderson!E9)</f>
        <v>Utilizable</v>
      </c>
      <c r="F9" s="7">
        <f t="shared" si="0"/>
        <v>1</v>
      </c>
      <c r="G9" s="7">
        <f t="shared" si="1"/>
        <v>3</v>
      </c>
      <c r="H9" s="7">
        <f t="shared" si="2"/>
        <v>0</v>
      </c>
      <c r="I9" s="7">
        <f t="shared" si="3"/>
        <v>0</v>
      </c>
      <c r="J9" s="7" t="str">
        <f t="shared" si="4"/>
        <v>Utilizable</v>
      </c>
      <c r="K9" s="7">
        <f t="shared" si="5"/>
        <v>1</v>
      </c>
      <c r="L9" s="7">
        <f t="shared" si="6"/>
        <v>1</v>
      </c>
      <c r="M9" s="7">
        <f t="shared" si="7"/>
        <v>1</v>
      </c>
      <c r="N9" s="7">
        <f t="shared" si="8"/>
        <v>1</v>
      </c>
      <c r="O9" s="8">
        <f t="shared" si="9"/>
        <v>1</v>
      </c>
      <c r="P9" s="7">
        <f t="shared" si="10"/>
        <v>0</v>
      </c>
    </row>
    <row r="10" spans="1:16" x14ac:dyDescent="0.25">
      <c r="A10" s="7" t="str">
        <f>Referencias!A10</f>
        <v>R09</v>
      </c>
      <c r="B10" s="7" t="str">
        <f>IF(Referencias!D10="","",Referencias!D10)</f>
        <v>B</v>
      </c>
      <c r="C10" s="7" t="str">
        <f>IF(Clasif_Isabella!E10="","",Clasif_Isabella!E10)</f>
        <v>Utilizable</v>
      </c>
      <c r="D10" s="7" t="str">
        <f>IF(Clasif_Eduar!E10="","",Clasif_Eduar!E10)</f>
        <v>Utilizable</v>
      </c>
      <c r="E10" s="7" t="str">
        <f>IF(Clasif_Anderson!E10="","",Clasif_Anderson!E10)</f>
        <v>Utilizable</v>
      </c>
      <c r="F10" s="7">
        <f t="shared" si="0"/>
        <v>1</v>
      </c>
      <c r="G10" s="7">
        <f t="shared" si="1"/>
        <v>3</v>
      </c>
      <c r="H10" s="7">
        <f t="shared" si="2"/>
        <v>0</v>
      </c>
      <c r="I10" s="7">
        <f t="shared" si="3"/>
        <v>0</v>
      </c>
      <c r="J10" s="7" t="str">
        <f t="shared" si="4"/>
        <v>Utilizable</v>
      </c>
      <c r="K10" s="7">
        <f t="shared" si="5"/>
        <v>1</v>
      </c>
      <c r="L10" s="7">
        <f t="shared" si="6"/>
        <v>1</v>
      </c>
      <c r="M10" s="7">
        <f t="shared" si="7"/>
        <v>1</v>
      </c>
      <c r="N10" s="7">
        <f t="shared" si="8"/>
        <v>1</v>
      </c>
      <c r="O10" s="8">
        <f t="shared" si="9"/>
        <v>1</v>
      </c>
      <c r="P10" s="7">
        <f t="shared" si="10"/>
        <v>0</v>
      </c>
    </row>
    <row r="11" spans="1:16" x14ac:dyDescent="0.25">
      <c r="A11" s="7" t="str">
        <f>Referencias!A11</f>
        <v>R10</v>
      </c>
      <c r="B11" s="7" t="str">
        <f>IF(Referencias!D11="","",Referencias!D11)</f>
        <v>B</v>
      </c>
      <c r="C11" s="7" t="str">
        <f>IF(Clasif_Isabella!E11="","",Clasif_Isabella!E11)</f>
        <v>Existe pero no dice eso</v>
      </c>
      <c r="D11" s="7" t="str">
        <f>IF(Clasif_Eduar!E11="","",Clasif_Eduar!E11)</f>
        <v>Utilizable</v>
      </c>
      <c r="E11" s="7" t="str">
        <f>IF(Clasif_Anderson!E11="","",Clasif_Anderson!E11)</f>
        <v>Existe pero no dice eso</v>
      </c>
      <c r="F11" s="7">
        <f t="shared" si="0"/>
        <v>1</v>
      </c>
      <c r="G11" s="7">
        <f t="shared" si="1"/>
        <v>1</v>
      </c>
      <c r="H11" s="7">
        <f t="shared" si="2"/>
        <v>2</v>
      </c>
      <c r="I11" s="7">
        <f t="shared" si="3"/>
        <v>0</v>
      </c>
      <c r="J11" s="7" t="str">
        <f t="shared" si="4"/>
        <v>Existe pero no dice eso</v>
      </c>
      <c r="K11" s="7">
        <f t="shared" si="5"/>
        <v>0</v>
      </c>
      <c r="L11" s="7">
        <f t="shared" si="6"/>
        <v>0</v>
      </c>
      <c r="M11" s="7">
        <f t="shared" si="7"/>
        <v>1</v>
      </c>
      <c r="N11" s="7">
        <f t="shared" si="8"/>
        <v>0</v>
      </c>
      <c r="O11" s="8">
        <f t="shared" si="9"/>
        <v>0.33333333333333331</v>
      </c>
      <c r="P11" s="7">
        <f t="shared" si="10"/>
        <v>1</v>
      </c>
    </row>
    <row r="12" spans="1:16" x14ac:dyDescent="0.25">
      <c r="A12" s="7" t="str">
        <f>Referencias!A12</f>
        <v>R11</v>
      </c>
      <c r="B12" s="7" t="str">
        <f>IF(Referencias!D12="","",Referencias!D12)</f>
        <v>C</v>
      </c>
      <c r="C12" s="7" t="str">
        <f>IF(Clasif_Isabella!E12="","",Clasif_Isabella!E12)</f>
        <v>Utilizable</v>
      </c>
      <c r="D12" s="7" t="str">
        <f>IF(Clasif_Eduar!E12="","",Clasif_Eduar!E12)</f>
        <v>Utilizable</v>
      </c>
      <c r="E12" s="7" t="str">
        <f>IF(Clasif_Anderson!E12="","",Clasif_Anderson!E12)</f>
        <v>Utilizable</v>
      </c>
      <c r="F12" s="7">
        <f t="shared" si="0"/>
        <v>1</v>
      </c>
      <c r="G12" s="7">
        <f t="shared" si="1"/>
        <v>3</v>
      </c>
      <c r="H12" s="7">
        <f t="shared" si="2"/>
        <v>0</v>
      </c>
      <c r="I12" s="7">
        <f t="shared" si="3"/>
        <v>0</v>
      </c>
      <c r="J12" s="7" t="str">
        <f t="shared" si="4"/>
        <v>Utilizable</v>
      </c>
      <c r="K12" s="7">
        <f t="shared" si="5"/>
        <v>1</v>
      </c>
      <c r="L12" s="7">
        <f t="shared" si="6"/>
        <v>1</v>
      </c>
      <c r="M12" s="7">
        <f t="shared" si="7"/>
        <v>1</v>
      </c>
      <c r="N12" s="7">
        <f t="shared" si="8"/>
        <v>1</v>
      </c>
      <c r="O12" s="8">
        <f t="shared" si="9"/>
        <v>1</v>
      </c>
      <c r="P12" s="7">
        <f t="shared" si="10"/>
        <v>0</v>
      </c>
    </row>
    <row r="13" spans="1:16" x14ac:dyDescent="0.25">
      <c r="A13" s="7" t="str">
        <f>Referencias!A13</f>
        <v>R12</v>
      </c>
      <c r="B13" s="7" t="str">
        <f>IF(Referencias!D13="","",Referencias!D13)</f>
        <v>C</v>
      </c>
      <c r="C13" s="7" t="str">
        <f>IF(Clasif_Isabella!E13="","",Clasif_Isabella!E13)</f>
        <v>Utilizable</v>
      </c>
      <c r="D13" s="7" t="str">
        <f>IF(Clasif_Eduar!E13="","",Clasif_Eduar!E13)</f>
        <v>Utilizable</v>
      </c>
      <c r="E13" s="7" t="str">
        <f>IF(Clasif_Anderson!E13="","",Clasif_Anderson!E13)</f>
        <v>Utilizable</v>
      </c>
      <c r="F13" s="7">
        <f t="shared" si="0"/>
        <v>1</v>
      </c>
      <c r="G13" s="7">
        <f t="shared" si="1"/>
        <v>3</v>
      </c>
      <c r="H13" s="7">
        <f t="shared" si="2"/>
        <v>0</v>
      </c>
      <c r="I13" s="7">
        <f t="shared" si="3"/>
        <v>0</v>
      </c>
      <c r="J13" s="7" t="str">
        <f t="shared" si="4"/>
        <v>Utilizable</v>
      </c>
      <c r="K13" s="7">
        <f t="shared" si="5"/>
        <v>1</v>
      </c>
      <c r="L13" s="7">
        <f t="shared" si="6"/>
        <v>1</v>
      </c>
      <c r="M13" s="7">
        <f t="shared" si="7"/>
        <v>1</v>
      </c>
      <c r="N13" s="7">
        <f t="shared" si="8"/>
        <v>1</v>
      </c>
      <c r="O13" s="8">
        <f t="shared" si="9"/>
        <v>1</v>
      </c>
      <c r="P13" s="7">
        <f t="shared" si="10"/>
        <v>0</v>
      </c>
    </row>
    <row r="14" spans="1:16" x14ac:dyDescent="0.25">
      <c r="A14" s="7" t="str">
        <f>Referencias!A14</f>
        <v>R13</v>
      </c>
      <c r="B14" s="7" t="str">
        <f>IF(Referencias!D14="","",Referencias!D14)</f>
        <v>C</v>
      </c>
      <c r="C14" s="7" t="str">
        <f>IF(Clasif_Isabella!E14="","",Clasif_Isabella!E14)</f>
        <v>Utilizable</v>
      </c>
      <c r="D14" s="7" t="str">
        <f>IF(Clasif_Eduar!E14="","",Clasif_Eduar!E14)</f>
        <v>Utilizable</v>
      </c>
      <c r="E14" s="7" t="str">
        <f>IF(Clasif_Anderson!E14="","",Clasif_Anderson!E14)</f>
        <v>Utilizable</v>
      </c>
      <c r="F14" s="7">
        <f t="shared" si="0"/>
        <v>1</v>
      </c>
      <c r="G14" s="7">
        <f t="shared" si="1"/>
        <v>3</v>
      </c>
      <c r="H14" s="7">
        <f t="shared" si="2"/>
        <v>0</v>
      </c>
      <c r="I14" s="7">
        <f t="shared" si="3"/>
        <v>0</v>
      </c>
      <c r="J14" s="7" t="str">
        <f t="shared" si="4"/>
        <v>Utilizable</v>
      </c>
      <c r="K14" s="7">
        <f t="shared" si="5"/>
        <v>1</v>
      </c>
      <c r="L14" s="7">
        <f t="shared" si="6"/>
        <v>1</v>
      </c>
      <c r="M14" s="7">
        <f t="shared" si="7"/>
        <v>1</v>
      </c>
      <c r="N14" s="7">
        <f t="shared" si="8"/>
        <v>1</v>
      </c>
      <c r="O14" s="8">
        <f t="shared" si="9"/>
        <v>1</v>
      </c>
      <c r="P14" s="7">
        <f t="shared" si="10"/>
        <v>0</v>
      </c>
    </row>
    <row r="15" spans="1:16" x14ac:dyDescent="0.25">
      <c r="A15" s="7" t="str">
        <f>Referencias!A15</f>
        <v>R14</v>
      </c>
      <c r="B15" s="7" t="str">
        <f>IF(Referencias!D15="","",Referencias!D15)</f>
        <v>C</v>
      </c>
      <c r="C15" s="7" t="str">
        <f>IF(Clasif_Isabella!E15="","",Clasif_Isabella!E15)</f>
        <v>Utilizable</v>
      </c>
      <c r="D15" s="7" t="str">
        <f>IF(Clasif_Eduar!E15="","",Clasif_Eduar!E15)</f>
        <v>No existe</v>
      </c>
      <c r="E15" s="7" t="str">
        <f>IF(Clasif_Anderson!E15="","",Clasif_Anderson!E15)</f>
        <v>Utilizable</v>
      </c>
      <c r="F15" s="7">
        <f t="shared" si="0"/>
        <v>1</v>
      </c>
      <c r="G15" s="7">
        <f t="shared" si="1"/>
        <v>2</v>
      </c>
      <c r="H15" s="7">
        <f t="shared" si="2"/>
        <v>0</v>
      </c>
      <c r="I15" s="7">
        <f t="shared" si="3"/>
        <v>1</v>
      </c>
      <c r="J15" s="7" t="str">
        <f t="shared" si="4"/>
        <v>Utilizable</v>
      </c>
      <c r="K15" s="7">
        <f t="shared" si="5"/>
        <v>0</v>
      </c>
      <c r="L15" s="7">
        <f t="shared" si="6"/>
        <v>0</v>
      </c>
      <c r="M15" s="7">
        <f t="shared" si="7"/>
        <v>1</v>
      </c>
      <c r="N15" s="7">
        <f t="shared" si="8"/>
        <v>0</v>
      </c>
      <c r="O15" s="8">
        <f t="shared" si="9"/>
        <v>0.33333333333333331</v>
      </c>
      <c r="P15" s="7">
        <f t="shared" si="10"/>
        <v>0</v>
      </c>
    </row>
    <row r="16" spans="1:16" x14ac:dyDescent="0.25">
      <c r="A16" s="7" t="str">
        <f>Referencias!A16</f>
        <v>R15</v>
      </c>
      <c r="B16" s="7" t="str">
        <f>IF(Referencias!D16="","",Referencias!D16)</f>
        <v>C</v>
      </c>
      <c r="C16" s="7" t="str">
        <f>IF(Clasif_Isabella!E16="","",Clasif_Isabella!E16)</f>
        <v>Utilizable</v>
      </c>
      <c r="D16" s="7" t="str">
        <f>IF(Clasif_Eduar!E16="","",Clasif_Eduar!E16)</f>
        <v>Utilizable</v>
      </c>
      <c r="E16" s="7" t="str">
        <f>IF(Clasif_Anderson!E16="","",Clasif_Anderson!E16)</f>
        <v>Utilizable</v>
      </c>
      <c r="F16" s="7">
        <f t="shared" si="0"/>
        <v>1</v>
      </c>
      <c r="G16" s="7">
        <f t="shared" si="1"/>
        <v>3</v>
      </c>
      <c r="H16" s="7">
        <f t="shared" si="2"/>
        <v>0</v>
      </c>
      <c r="I16" s="7">
        <f t="shared" si="3"/>
        <v>0</v>
      </c>
      <c r="J16" s="7" t="str">
        <f t="shared" si="4"/>
        <v>Utilizable</v>
      </c>
      <c r="K16" s="7">
        <f t="shared" si="5"/>
        <v>1</v>
      </c>
      <c r="L16" s="7">
        <f t="shared" si="6"/>
        <v>1</v>
      </c>
      <c r="M16" s="7">
        <f t="shared" si="7"/>
        <v>1</v>
      </c>
      <c r="N16" s="7">
        <f t="shared" si="8"/>
        <v>1</v>
      </c>
      <c r="O16" s="8">
        <f t="shared" si="9"/>
        <v>1</v>
      </c>
      <c r="P16" s="7">
        <f t="shared" si="10"/>
        <v>0</v>
      </c>
    </row>
    <row r="17" spans="1:16" x14ac:dyDescent="0.25">
      <c r="A17" s="7" t="str">
        <f>Referencias!A17</f>
        <v>R16</v>
      </c>
      <c r="B17" s="7" t="str">
        <f>IF(Referencias!D17="","",Referencias!D17)</f>
        <v>A</v>
      </c>
      <c r="C17" s="7" t="str">
        <f>IF(Clasif_Isabella!E17="","",Clasif_Isabella!E17)</f>
        <v>No existe</v>
      </c>
      <c r="D17" s="7" t="str">
        <f>IF(Clasif_Eduar!E17="","",Clasif_Eduar!E17)</f>
        <v>No existe</v>
      </c>
      <c r="E17" s="7" t="str">
        <f>IF(Clasif_Anderson!E17="","",Clasif_Anderson!E17)</f>
        <v>No existe</v>
      </c>
      <c r="F17" s="7">
        <f t="shared" si="0"/>
        <v>1</v>
      </c>
      <c r="G17" s="7">
        <f t="shared" si="1"/>
        <v>0</v>
      </c>
      <c r="H17" s="7">
        <f t="shared" si="2"/>
        <v>0</v>
      </c>
      <c r="I17" s="7">
        <f t="shared" si="3"/>
        <v>3</v>
      </c>
      <c r="J17" s="7" t="str">
        <f t="shared" si="4"/>
        <v>No existe</v>
      </c>
      <c r="K17" s="7">
        <f t="shared" si="5"/>
        <v>1</v>
      </c>
      <c r="L17" s="7">
        <f t="shared" si="6"/>
        <v>1</v>
      </c>
      <c r="M17" s="7">
        <f t="shared" si="7"/>
        <v>1</v>
      </c>
      <c r="N17" s="7">
        <f t="shared" si="8"/>
        <v>1</v>
      </c>
      <c r="O17" s="8">
        <f t="shared" si="9"/>
        <v>1</v>
      </c>
      <c r="P17" s="7">
        <f t="shared" si="10"/>
        <v>0</v>
      </c>
    </row>
    <row r="18" spans="1:16" x14ac:dyDescent="0.25">
      <c r="A18" s="7" t="str">
        <f>Referencias!A18</f>
        <v>R17</v>
      </c>
      <c r="B18" s="7" t="str">
        <f>IF(Referencias!D18="","",Referencias!D18)</f>
        <v>A</v>
      </c>
      <c r="C18" s="7" t="str">
        <f>IF(Clasif_Isabella!E18="","",Clasif_Isabella!E18)</f>
        <v>No existe</v>
      </c>
      <c r="D18" s="7" t="str">
        <f>IF(Clasif_Eduar!E18="","",Clasif_Eduar!E18)</f>
        <v>No existe</v>
      </c>
      <c r="E18" s="7" t="str">
        <f>IF(Clasif_Anderson!E18="","",Clasif_Anderson!E18)</f>
        <v>No existe</v>
      </c>
      <c r="F18" s="7">
        <f t="shared" si="0"/>
        <v>1</v>
      </c>
      <c r="G18" s="7">
        <f t="shared" si="1"/>
        <v>0</v>
      </c>
      <c r="H18" s="7">
        <f t="shared" si="2"/>
        <v>0</v>
      </c>
      <c r="I18" s="7">
        <f t="shared" si="3"/>
        <v>3</v>
      </c>
      <c r="J18" s="7" t="str">
        <f t="shared" si="4"/>
        <v>No existe</v>
      </c>
      <c r="K18" s="7">
        <f t="shared" si="5"/>
        <v>1</v>
      </c>
      <c r="L18" s="7">
        <f t="shared" si="6"/>
        <v>1</v>
      </c>
      <c r="M18" s="7">
        <f t="shared" si="7"/>
        <v>1</v>
      </c>
      <c r="N18" s="7">
        <f t="shared" si="8"/>
        <v>1</v>
      </c>
      <c r="O18" s="8">
        <f t="shared" si="9"/>
        <v>1</v>
      </c>
      <c r="P18" s="7">
        <f t="shared" si="10"/>
        <v>0</v>
      </c>
    </row>
    <row r="19" spans="1:16" x14ac:dyDescent="0.25">
      <c r="A19" s="7" t="str">
        <f>Referencias!A19</f>
        <v>R18</v>
      </c>
      <c r="B19" s="7" t="str">
        <f>IF(Referencias!D19="","",Referencias!D19)</f>
        <v>A</v>
      </c>
      <c r="C19" s="7" t="str">
        <f>IF(Clasif_Isabella!E19="","",Clasif_Isabella!E19)</f>
        <v>Utilizable</v>
      </c>
      <c r="D19" s="7" t="str">
        <f>IF(Clasif_Eduar!E19="","",Clasif_Eduar!E19)</f>
        <v>Utilizable</v>
      </c>
      <c r="E19" s="7" t="str">
        <f>IF(Clasif_Anderson!E19="","",Clasif_Anderson!E19)</f>
        <v>Utilizable</v>
      </c>
      <c r="F19" s="7">
        <f t="shared" si="0"/>
        <v>1</v>
      </c>
      <c r="G19" s="7">
        <f t="shared" si="1"/>
        <v>3</v>
      </c>
      <c r="H19" s="7">
        <f t="shared" si="2"/>
        <v>0</v>
      </c>
      <c r="I19" s="7">
        <f t="shared" si="3"/>
        <v>0</v>
      </c>
      <c r="J19" s="7" t="str">
        <f t="shared" si="4"/>
        <v>Utilizable</v>
      </c>
      <c r="K19" s="7">
        <f t="shared" si="5"/>
        <v>1</v>
      </c>
      <c r="L19" s="7">
        <f t="shared" si="6"/>
        <v>1</v>
      </c>
      <c r="M19" s="7">
        <f t="shared" si="7"/>
        <v>1</v>
      </c>
      <c r="N19" s="7">
        <f t="shared" si="8"/>
        <v>1</v>
      </c>
      <c r="O19" s="8">
        <f t="shared" si="9"/>
        <v>1</v>
      </c>
      <c r="P19" s="7">
        <f t="shared" si="10"/>
        <v>0</v>
      </c>
    </row>
    <row r="20" spans="1:16" x14ac:dyDescent="0.25">
      <c r="A20" s="7" t="str">
        <f>Referencias!A20</f>
        <v>R19</v>
      </c>
      <c r="B20" s="7" t="str">
        <f>IF(Referencias!D20="","",Referencias!D20)</f>
        <v>A</v>
      </c>
      <c r="C20" s="7" t="str">
        <f>IF(Clasif_Isabella!E20="","",Clasif_Isabella!E20)</f>
        <v>No existe</v>
      </c>
      <c r="D20" s="7" t="str">
        <f>IF(Clasif_Eduar!E20="","",Clasif_Eduar!E20)</f>
        <v>No existe</v>
      </c>
      <c r="E20" s="7" t="str">
        <f>IF(Clasif_Anderson!E20="","",Clasif_Anderson!E20)</f>
        <v>No existe</v>
      </c>
      <c r="F20" s="7">
        <f t="shared" si="0"/>
        <v>1</v>
      </c>
      <c r="G20" s="7">
        <f t="shared" si="1"/>
        <v>0</v>
      </c>
      <c r="H20" s="7">
        <f t="shared" si="2"/>
        <v>0</v>
      </c>
      <c r="I20" s="7">
        <f t="shared" si="3"/>
        <v>3</v>
      </c>
      <c r="J20" s="7" t="str">
        <f t="shared" si="4"/>
        <v>No existe</v>
      </c>
      <c r="K20" s="7">
        <f t="shared" si="5"/>
        <v>1</v>
      </c>
      <c r="L20" s="7">
        <f t="shared" si="6"/>
        <v>1</v>
      </c>
      <c r="M20" s="7">
        <f t="shared" si="7"/>
        <v>1</v>
      </c>
      <c r="N20" s="7">
        <f t="shared" si="8"/>
        <v>1</v>
      </c>
      <c r="O20" s="8">
        <f t="shared" si="9"/>
        <v>1</v>
      </c>
      <c r="P20" s="7">
        <f t="shared" si="10"/>
        <v>0</v>
      </c>
    </row>
    <row r="21" spans="1:16" x14ac:dyDescent="0.25">
      <c r="A21" s="7" t="str">
        <f>Referencias!A21</f>
        <v>R20</v>
      </c>
      <c r="B21" s="7" t="str">
        <f>IF(Referencias!D21="","",Referencias!D21)</f>
        <v>A</v>
      </c>
      <c r="C21" s="7" t="str">
        <f>IF(Clasif_Isabella!E21="","",Clasif_Isabella!E21)</f>
        <v>Existe pero no dice eso</v>
      </c>
      <c r="D21" s="7" t="str">
        <f>IF(Clasif_Eduar!E21="","",Clasif_Eduar!E21)</f>
        <v>Existe pero no dice eso</v>
      </c>
      <c r="E21" s="7" t="str">
        <f>IF(Clasif_Anderson!E21="","",Clasif_Anderson!E21)</f>
        <v>Existe pero no dice eso</v>
      </c>
      <c r="F21" s="7">
        <f t="shared" si="0"/>
        <v>1</v>
      </c>
      <c r="G21" s="7">
        <f t="shared" si="1"/>
        <v>0</v>
      </c>
      <c r="H21" s="7">
        <f t="shared" si="2"/>
        <v>3</v>
      </c>
      <c r="I21" s="7">
        <f t="shared" si="3"/>
        <v>0</v>
      </c>
      <c r="J21" s="7" t="str">
        <f t="shared" si="4"/>
        <v>Existe pero no dice eso</v>
      </c>
      <c r="K21" s="7">
        <f t="shared" si="5"/>
        <v>1</v>
      </c>
      <c r="L21" s="7">
        <f t="shared" si="6"/>
        <v>1</v>
      </c>
      <c r="M21" s="7">
        <f t="shared" si="7"/>
        <v>1</v>
      </c>
      <c r="N21" s="7">
        <f t="shared" si="8"/>
        <v>1</v>
      </c>
      <c r="O21" s="8">
        <f t="shared" si="9"/>
        <v>1</v>
      </c>
      <c r="P21" s="7">
        <f t="shared" si="10"/>
        <v>0</v>
      </c>
    </row>
    <row r="22" spans="1:16" x14ac:dyDescent="0.25">
      <c r="A22" s="7" t="str">
        <f>Referencias!A22</f>
        <v>R21</v>
      </c>
      <c r="B22" s="7" t="str">
        <f>IF(Referencias!D22="","",Referencias!D22)</f>
        <v>B</v>
      </c>
      <c r="C22" s="7" t="str">
        <f>IF(Clasif_Isabella!E22="","",Clasif_Isabella!E22)</f>
        <v>Utilizable</v>
      </c>
      <c r="D22" s="7" t="str">
        <f>IF(Clasif_Eduar!E22="","",Clasif_Eduar!E22)</f>
        <v>Utilizable</v>
      </c>
      <c r="E22" s="7" t="str">
        <f>IF(Clasif_Anderson!E22="","",Clasif_Anderson!E22)</f>
        <v>Utilizable</v>
      </c>
      <c r="F22" s="7">
        <f t="shared" si="0"/>
        <v>1</v>
      </c>
      <c r="G22" s="7">
        <f t="shared" si="1"/>
        <v>3</v>
      </c>
      <c r="H22" s="7">
        <f t="shared" si="2"/>
        <v>0</v>
      </c>
      <c r="I22" s="7">
        <f t="shared" si="3"/>
        <v>0</v>
      </c>
      <c r="J22" s="7" t="str">
        <f t="shared" si="4"/>
        <v>Utilizable</v>
      </c>
      <c r="K22" s="7">
        <f t="shared" si="5"/>
        <v>1</v>
      </c>
      <c r="L22" s="7">
        <f t="shared" si="6"/>
        <v>1</v>
      </c>
      <c r="M22" s="7">
        <f t="shared" si="7"/>
        <v>1</v>
      </c>
      <c r="N22" s="7">
        <f t="shared" si="8"/>
        <v>1</v>
      </c>
      <c r="O22" s="8">
        <f t="shared" si="9"/>
        <v>1</v>
      </c>
      <c r="P22" s="7">
        <f t="shared" si="10"/>
        <v>0</v>
      </c>
    </row>
    <row r="23" spans="1:16" x14ac:dyDescent="0.25">
      <c r="A23" s="7" t="str">
        <f>Referencias!A23</f>
        <v>R22</v>
      </c>
      <c r="B23" s="7" t="str">
        <f>IF(Referencias!D23="","",Referencias!D23)</f>
        <v>B</v>
      </c>
      <c r="C23" s="7" t="str">
        <f>IF(Clasif_Isabella!E23="","",Clasif_Isabella!E23)</f>
        <v>Utilizable</v>
      </c>
      <c r="D23" s="7" t="str">
        <f>IF(Clasif_Eduar!E23="","",Clasif_Eduar!E23)</f>
        <v>Utilizable</v>
      </c>
      <c r="E23" s="7" t="str">
        <f>IF(Clasif_Anderson!E23="","",Clasif_Anderson!E23)</f>
        <v>Utilizable</v>
      </c>
      <c r="F23" s="7">
        <f t="shared" si="0"/>
        <v>1</v>
      </c>
      <c r="G23" s="7">
        <f t="shared" si="1"/>
        <v>3</v>
      </c>
      <c r="H23" s="7">
        <f t="shared" si="2"/>
        <v>0</v>
      </c>
      <c r="I23" s="7">
        <f t="shared" si="3"/>
        <v>0</v>
      </c>
      <c r="J23" s="7" t="str">
        <f t="shared" si="4"/>
        <v>Utilizable</v>
      </c>
      <c r="K23" s="7">
        <f t="shared" si="5"/>
        <v>1</v>
      </c>
      <c r="L23" s="7">
        <f t="shared" si="6"/>
        <v>1</v>
      </c>
      <c r="M23" s="7">
        <f t="shared" si="7"/>
        <v>1</v>
      </c>
      <c r="N23" s="7">
        <f t="shared" si="8"/>
        <v>1</v>
      </c>
      <c r="O23" s="8">
        <f t="shared" si="9"/>
        <v>1</v>
      </c>
      <c r="P23" s="7">
        <f t="shared" si="10"/>
        <v>0</v>
      </c>
    </row>
    <row r="24" spans="1:16" x14ac:dyDescent="0.25">
      <c r="A24" s="7" t="str">
        <f>Referencias!A24</f>
        <v>R23</v>
      </c>
      <c r="B24" s="7" t="str">
        <f>IF(Referencias!D24="","",Referencias!D24)</f>
        <v>B</v>
      </c>
      <c r="C24" s="7" t="str">
        <f>IF(Clasif_Isabella!E24="","",Clasif_Isabella!E24)</f>
        <v>Utilizable</v>
      </c>
      <c r="D24" s="7" t="str">
        <f>IF(Clasif_Eduar!E24="","",Clasif_Eduar!E24)</f>
        <v>Utilizable</v>
      </c>
      <c r="E24" s="7" t="str">
        <f>IF(Clasif_Anderson!E24="","",Clasif_Anderson!E24)</f>
        <v>Utilizable</v>
      </c>
      <c r="F24" s="7">
        <f t="shared" si="0"/>
        <v>1</v>
      </c>
      <c r="G24" s="7">
        <f t="shared" si="1"/>
        <v>3</v>
      </c>
      <c r="H24" s="7">
        <f t="shared" si="2"/>
        <v>0</v>
      </c>
      <c r="I24" s="7">
        <f t="shared" si="3"/>
        <v>0</v>
      </c>
      <c r="J24" s="7" t="str">
        <f t="shared" si="4"/>
        <v>Utilizable</v>
      </c>
      <c r="K24" s="7">
        <f t="shared" si="5"/>
        <v>1</v>
      </c>
      <c r="L24" s="7">
        <f t="shared" si="6"/>
        <v>1</v>
      </c>
      <c r="M24" s="7">
        <f t="shared" si="7"/>
        <v>1</v>
      </c>
      <c r="N24" s="7">
        <f t="shared" si="8"/>
        <v>1</v>
      </c>
      <c r="O24" s="8">
        <f t="shared" si="9"/>
        <v>1</v>
      </c>
      <c r="P24" s="7">
        <f t="shared" si="10"/>
        <v>0</v>
      </c>
    </row>
    <row r="25" spans="1:16" x14ac:dyDescent="0.25">
      <c r="A25" s="7" t="str">
        <f>Referencias!A25</f>
        <v>R24</v>
      </c>
      <c r="B25" s="7" t="str">
        <f>IF(Referencias!D25="","",Referencias!D25)</f>
        <v>B</v>
      </c>
      <c r="C25" s="7" t="str">
        <f>IF(Clasif_Isabella!E25="","",Clasif_Isabella!E25)</f>
        <v>Utilizable</v>
      </c>
      <c r="D25" s="7" t="str">
        <f>IF(Clasif_Eduar!E25="","",Clasif_Eduar!E25)</f>
        <v>Utilizable</v>
      </c>
      <c r="E25" s="7" t="str">
        <f>IF(Clasif_Anderson!E25="","",Clasif_Anderson!E25)</f>
        <v>Utilizable</v>
      </c>
      <c r="F25" s="7">
        <f t="shared" si="0"/>
        <v>1</v>
      </c>
      <c r="G25" s="7">
        <f t="shared" si="1"/>
        <v>3</v>
      </c>
      <c r="H25" s="7">
        <f t="shared" si="2"/>
        <v>0</v>
      </c>
      <c r="I25" s="7">
        <f t="shared" si="3"/>
        <v>0</v>
      </c>
      <c r="J25" s="7" t="str">
        <f t="shared" si="4"/>
        <v>Utilizable</v>
      </c>
      <c r="K25" s="7">
        <f t="shared" si="5"/>
        <v>1</v>
      </c>
      <c r="L25" s="7">
        <f t="shared" si="6"/>
        <v>1</v>
      </c>
      <c r="M25" s="7">
        <f t="shared" si="7"/>
        <v>1</v>
      </c>
      <c r="N25" s="7">
        <f t="shared" si="8"/>
        <v>1</v>
      </c>
      <c r="O25" s="8">
        <f t="shared" si="9"/>
        <v>1</v>
      </c>
      <c r="P25" s="7">
        <f t="shared" si="10"/>
        <v>0</v>
      </c>
    </row>
    <row r="26" spans="1:16" x14ac:dyDescent="0.25">
      <c r="A26" s="7" t="str">
        <f>Referencias!A26</f>
        <v>R25</v>
      </c>
      <c r="B26" s="7" t="str">
        <f>IF(Referencias!D26="","",Referencias!D26)</f>
        <v>B</v>
      </c>
      <c r="C26" s="7" t="str">
        <f>IF(Clasif_Isabella!E26="","",Clasif_Isabella!E26)</f>
        <v>Utilizable</v>
      </c>
      <c r="D26" s="7" t="str">
        <f>IF(Clasif_Eduar!E26="","",Clasif_Eduar!E26)</f>
        <v>Utilizable</v>
      </c>
      <c r="E26" s="7" t="str">
        <f>IF(Clasif_Anderson!E26="","",Clasif_Anderson!E26)</f>
        <v>Utilizable</v>
      </c>
      <c r="F26" s="7">
        <f t="shared" si="0"/>
        <v>1</v>
      </c>
      <c r="G26" s="7">
        <f t="shared" si="1"/>
        <v>3</v>
      </c>
      <c r="H26" s="7">
        <f t="shared" si="2"/>
        <v>0</v>
      </c>
      <c r="I26" s="7">
        <f t="shared" si="3"/>
        <v>0</v>
      </c>
      <c r="J26" s="7" t="str">
        <f t="shared" si="4"/>
        <v>Utilizable</v>
      </c>
      <c r="K26" s="7">
        <f t="shared" si="5"/>
        <v>1</v>
      </c>
      <c r="L26" s="7">
        <f t="shared" si="6"/>
        <v>1</v>
      </c>
      <c r="M26" s="28">
        <f t="shared" si="7"/>
        <v>1</v>
      </c>
      <c r="N26" s="7">
        <f t="shared" si="8"/>
        <v>1</v>
      </c>
      <c r="O26" s="8">
        <f t="shared" si="9"/>
        <v>1</v>
      </c>
      <c r="P26" s="7">
        <f t="shared" si="10"/>
        <v>0</v>
      </c>
    </row>
    <row r="27" spans="1:16" x14ac:dyDescent="0.25">
      <c r="A27" s="7" t="str">
        <f>Referencias!A27</f>
        <v>R26</v>
      </c>
      <c r="B27" s="7" t="str">
        <f>IF(Referencias!D27="","",Referencias!D27)</f>
        <v>C</v>
      </c>
      <c r="C27" s="7" t="str">
        <f>IF(Clasif_Isabella!E27="","",Clasif_Isabella!E27)</f>
        <v>Utilizable</v>
      </c>
      <c r="D27" s="7" t="str">
        <f>IF(Clasif_Eduar!E27="","",Clasif_Eduar!E27)</f>
        <v>Utilizable</v>
      </c>
      <c r="E27" s="7" t="str">
        <f>IF(Clasif_Anderson!E27="","",Clasif_Anderson!E27)</f>
        <v>Utilizable</v>
      </c>
      <c r="F27" s="7">
        <f t="shared" si="0"/>
        <v>1</v>
      </c>
      <c r="G27" s="7">
        <f t="shared" si="1"/>
        <v>3</v>
      </c>
      <c r="H27" s="7">
        <f t="shared" si="2"/>
        <v>0</v>
      </c>
      <c r="I27" s="7">
        <f t="shared" si="3"/>
        <v>0</v>
      </c>
      <c r="J27" s="7" t="str">
        <f t="shared" si="4"/>
        <v>Utilizable</v>
      </c>
      <c r="K27" s="7">
        <f t="shared" si="5"/>
        <v>1</v>
      </c>
      <c r="L27" s="7">
        <f t="shared" si="6"/>
        <v>1</v>
      </c>
      <c r="M27" s="7">
        <f t="shared" si="7"/>
        <v>1</v>
      </c>
      <c r="N27" s="7">
        <f t="shared" si="8"/>
        <v>1</v>
      </c>
      <c r="O27" s="8">
        <f t="shared" si="9"/>
        <v>1</v>
      </c>
      <c r="P27" s="7">
        <f t="shared" si="10"/>
        <v>0</v>
      </c>
    </row>
    <row r="28" spans="1:16" x14ac:dyDescent="0.25">
      <c r="A28" s="7" t="str">
        <f>Referencias!A28</f>
        <v>R27</v>
      </c>
      <c r="B28" s="7" t="str">
        <f>IF(Referencias!D28="","",Referencias!D28)</f>
        <v>C</v>
      </c>
      <c r="C28" s="7" t="str">
        <f>IF(Clasif_Isabella!E28="","",Clasif_Isabella!E28)</f>
        <v>Utilizable</v>
      </c>
      <c r="D28" s="7" t="str">
        <f>IF(Clasif_Eduar!E28="","",Clasif_Eduar!E28)</f>
        <v>Utilizable</v>
      </c>
      <c r="E28" s="7" t="str">
        <f>IF(Clasif_Anderson!E28="","",Clasif_Anderson!E28)</f>
        <v>Utilizable</v>
      </c>
      <c r="F28" s="7">
        <f t="shared" si="0"/>
        <v>1</v>
      </c>
      <c r="G28" s="7">
        <f t="shared" si="1"/>
        <v>3</v>
      </c>
      <c r="H28" s="7">
        <f t="shared" si="2"/>
        <v>0</v>
      </c>
      <c r="I28" s="7">
        <f t="shared" si="3"/>
        <v>0</v>
      </c>
      <c r="J28" s="7" t="str">
        <f t="shared" si="4"/>
        <v>Utilizable</v>
      </c>
      <c r="K28" s="7">
        <f t="shared" si="5"/>
        <v>1</v>
      </c>
      <c r="L28" s="7">
        <f t="shared" si="6"/>
        <v>1</v>
      </c>
      <c r="M28" s="7">
        <f t="shared" si="7"/>
        <v>1</v>
      </c>
      <c r="N28" s="7">
        <f t="shared" si="8"/>
        <v>1</v>
      </c>
      <c r="O28" s="8">
        <f t="shared" si="9"/>
        <v>1</v>
      </c>
      <c r="P28" s="7">
        <f t="shared" si="10"/>
        <v>0</v>
      </c>
    </row>
    <row r="29" spans="1:16" x14ac:dyDescent="0.25">
      <c r="A29" s="7" t="str">
        <f>Referencias!A29</f>
        <v>R28</v>
      </c>
      <c r="B29" s="7" t="str">
        <f>IF(Referencias!D29="","",Referencias!D29)</f>
        <v>C</v>
      </c>
      <c r="C29" s="7" t="str">
        <f>IF(Clasif_Isabella!E29="","",Clasif_Isabella!E29)</f>
        <v>Utilizable</v>
      </c>
      <c r="D29" s="7" t="str">
        <f>IF(Clasif_Eduar!E29="","",Clasif_Eduar!E29)</f>
        <v>Utilizable</v>
      </c>
      <c r="E29" s="7" t="str">
        <f>IF(Clasif_Anderson!E29="","",Clasif_Anderson!E29)</f>
        <v>Utilizable</v>
      </c>
      <c r="F29" s="7">
        <f t="shared" si="0"/>
        <v>1</v>
      </c>
      <c r="G29" s="7">
        <f t="shared" si="1"/>
        <v>3</v>
      </c>
      <c r="H29" s="7">
        <f t="shared" si="2"/>
        <v>0</v>
      </c>
      <c r="I29" s="7">
        <f t="shared" si="3"/>
        <v>0</v>
      </c>
      <c r="J29" s="7" t="str">
        <f t="shared" si="4"/>
        <v>Utilizable</v>
      </c>
      <c r="K29" s="7">
        <f t="shared" si="5"/>
        <v>1</v>
      </c>
      <c r="L29" s="7">
        <f t="shared" si="6"/>
        <v>1</v>
      </c>
      <c r="M29" s="7">
        <f t="shared" si="7"/>
        <v>1</v>
      </c>
      <c r="N29" s="7">
        <f t="shared" si="8"/>
        <v>1</v>
      </c>
      <c r="O29" s="8">
        <f t="shared" si="9"/>
        <v>1</v>
      </c>
      <c r="P29" s="7">
        <f t="shared" si="10"/>
        <v>0</v>
      </c>
    </row>
    <row r="30" spans="1:16" x14ac:dyDescent="0.25">
      <c r="A30" s="7" t="str">
        <f>Referencias!A30</f>
        <v>R29</v>
      </c>
      <c r="B30" s="7" t="str">
        <f>IF(Referencias!D30="","",Referencias!D30)</f>
        <v>C</v>
      </c>
      <c r="C30" s="7" t="str">
        <f>IF(Clasif_Isabella!E30="","",Clasif_Isabella!E30)</f>
        <v>Utilizable</v>
      </c>
      <c r="D30" s="7" t="str">
        <f>IF(Clasif_Eduar!E30="","",Clasif_Eduar!E30)</f>
        <v>Utilizable</v>
      </c>
      <c r="E30" s="7" t="str">
        <f>IF(Clasif_Anderson!E30="","",Clasif_Anderson!E30)</f>
        <v>Utilizable</v>
      </c>
      <c r="F30" s="7">
        <f t="shared" si="0"/>
        <v>1</v>
      </c>
      <c r="G30" s="7">
        <f t="shared" si="1"/>
        <v>3</v>
      </c>
      <c r="H30" s="7">
        <f t="shared" si="2"/>
        <v>0</v>
      </c>
      <c r="I30" s="7">
        <f t="shared" si="3"/>
        <v>0</v>
      </c>
      <c r="J30" s="7" t="str">
        <f t="shared" si="4"/>
        <v>Utilizable</v>
      </c>
      <c r="K30" s="7">
        <f t="shared" si="5"/>
        <v>1</v>
      </c>
      <c r="L30" s="7">
        <f t="shared" si="6"/>
        <v>1</v>
      </c>
      <c r="M30" s="7">
        <f t="shared" si="7"/>
        <v>1</v>
      </c>
      <c r="N30" s="7">
        <f t="shared" si="8"/>
        <v>1</v>
      </c>
      <c r="O30" s="8">
        <f t="shared" si="9"/>
        <v>1</v>
      </c>
      <c r="P30" s="7">
        <f t="shared" si="10"/>
        <v>0</v>
      </c>
    </row>
    <row r="31" spans="1:16" x14ac:dyDescent="0.25">
      <c r="A31" s="7" t="str">
        <f>Referencias!A31</f>
        <v>R30</v>
      </c>
      <c r="B31" s="7" t="str">
        <f>IF(Referencias!D31="","",Referencias!D31)</f>
        <v>C</v>
      </c>
      <c r="C31" s="7" t="str">
        <f>IF(Clasif_Isabella!E31="","",Clasif_Isabella!E31)</f>
        <v>Utilizable</v>
      </c>
      <c r="D31" s="7" t="str">
        <f>IF(Clasif_Eduar!E31="","",Clasif_Eduar!E31)</f>
        <v>Utilizable</v>
      </c>
      <c r="E31" s="7" t="str">
        <f>IF(Clasif_Anderson!E31="","",Clasif_Anderson!E31)</f>
        <v>Utilizable</v>
      </c>
      <c r="F31" s="7">
        <f t="shared" si="0"/>
        <v>1</v>
      </c>
      <c r="G31" s="7">
        <f t="shared" si="1"/>
        <v>3</v>
      </c>
      <c r="H31" s="7">
        <f t="shared" si="2"/>
        <v>0</v>
      </c>
      <c r="I31" s="7">
        <f t="shared" si="3"/>
        <v>0</v>
      </c>
      <c r="J31" s="7" t="str">
        <f t="shared" si="4"/>
        <v>Utilizable</v>
      </c>
      <c r="K31" s="7">
        <f t="shared" si="5"/>
        <v>1</v>
      </c>
      <c r="L31" s="7">
        <f t="shared" si="6"/>
        <v>1</v>
      </c>
      <c r="M31" s="7">
        <f t="shared" si="7"/>
        <v>1</v>
      </c>
      <c r="N31" s="7">
        <f t="shared" si="8"/>
        <v>1</v>
      </c>
      <c r="O31" s="8">
        <f t="shared" si="9"/>
        <v>1</v>
      </c>
      <c r="P31" s="7">
        <f t="shared" si="10"/>
        <v>0</v>
      </c>
    </row>
    <row r="32" spans="1:16" x14ac:dyDescent="0.25">
      <c r="A32" s="7" t="str">
        <f>Referencias!A32</f>
        <v>R31</v>
      </c>
      <c r="B32" s="7" t="str">
        <f>IF(Referencias!D32="","",Referencias!D32)</f>
        <v>A</v>
      </c>
      <c r="C32" s="7" t="str">
        <f>IF(Clasif_Isabella!E32="","",Clasif_Isabella!E32)</f>
        <v>Utilizable</v>
      </c>
      <c r="D32" s="7" t="str">
        <f>IF(Clasif_Eduar!E32="","",Clasif_Eduar!E32)</f>
        <v>Utilizable</v>
      </c>
      <c r="E32" s="7" t="str">
        <f>IF(Clasif_Anderson!E32="","",Clasif_Anderson!E32)</f>
        <v>Utilizable</v>
      </c>
      <c r="F32" s="7">
        <f t="shared" si="0"/>
        <v>1</v>
      </c>
      <c r="G32" s="7">
        <f t="shared" si="1"/>
        <v>3</v>
      </c>
      <c r="H32" s="7">
        <f t="shared" si="2"/>
        <v>0</v>
      </c>
      <c r="I32" s="7">
        <f t="shared" si="3"/>
        <v>0</v>
      </c>
      <c r="J32" s="7" t="str">
        <f t="shared" si="4"/>
        <v>Utilizable</v>
      </c>
      <c r="K32" s="7">
        <f t="shared" si="5"/>
        <v>1</v>
      </c>
      <c r="L32" s="7">
        <f t="shared" si="6"/>
        <v>1</v>
      </c>
      <c r="M32" s="7">
        <f t="shared" si="7"/>
        <v>1</v>
      </c>
      <c r="N32" s="7">
        <f t="shared" si="8"/>
        <v>1</v>
      </c>
      <c r="O32" s="8">
        <f t="shared" si="9"/>
        <v>1</v>
      </c>
      <c r="P32" s="7">
        <f t="shared" si="10"/>
        <v>0</v>
      </c>
    </row>
    <row r="33" spans="1:16" x14ac:dyDescent="0.25">
      <c r="A33" s="7" t="str">
        <f>Referencias!A33</f>
        <v>R32</v>
      </c>
      <c r="B33" s="7" t="str">
        <f>IF(Referencias!D33="","",Referencias!D33)</f>
        <v>A</v>
      </c>
      <c r="C33" s="7" t="str">
        <f>IF(Clasif_Isabella!E33="","",Clasif_Isabella!E33)</f>
        <v>Utilizable</v>
      </c>
      <c r="D33" s="7" t="str">
        <f>IF(Clasif_Eduar!E33="","",Clasif_Eduar!E33)</f>
        <v>Utilizable</v>
      </c>
      <c r="E33" s="7" t="str">
        <f>IF(Clasif_Anderson!E33="","",Clasif_Anderson!E33)</f>
        <v>Utilizable</v>
      </c>
      <c r="F33" s="7">
        <f t="shared" si="0"/>
        <v>1</v>
      </c>
      <c r="G33" s="7">
        <f t="shared" si="1"/>
        <v>3</v>
      </c>
      <c r="H33" s="7">
        <f t="shared" si="2"/>
        <v>0</v>
      </c>
      <c r="I33" s="7">
        <f t="shared" si="3"/>
        <v>0</v>
      </c>
      <c r="J33" s="7" t="str">
        <f t="shared" si="4"/>
        <v>Utilizable</v>
      </c>
      <c r="K33" s="7">
        <f t="shared" si="5"/>
        <v>1</v>
      </c>
      <c r="L33" s="7">
        <f t="shared" si="6"/>
        <v>1</v>
      </c>
      <c r="M33" s="7">
        <f t="shared" si="7"/>
        <v>1</v>
      </c>
      <c r="N33" s="7">
        <f t="shared" si="8"/>
        <v>1</v>
      </c>
      <c r="O33" s="8">
        <f t="shared" si="9"/>
        <v>1</v>
      </c>
      <c r="P33" s="7">
        <f t="shared" si="10"/>
        <v>0</v>
      </c>
    </row>
    <row r="34" spans="1:16" x14ac:dyDescent="0.25">
      <c r="A34" s="7" t="str">
        <f>Referencias!A34</f>
        <v>R33</v>
      </c>
      <c r="B34" s="7" t="str">
        <f>IF(Referencias!D34="","",Referencias!D34)</f>
        <v>A</v>
      </c>
      <c r="C34" s="7" t="str">
        <f>IF(Clasif_Isabella!E34="","",Clasif_Isabella!E34)</f>
        <v>Utilizable</v>
      </c>
      <c r="D34" s="7" t="str">
        <f>IF(Clasif_Eduar!E34="","",Clasif_Eduar!E34)</f>
        <v>Utilizable</v>
      </c>
      <c r="E34" s="7" t="str">
        <f>IF(Clasif_Anderson!E34="","",Clasif_Anderson!E34)</f>
        <v>Utilizable</v>
      </c>
      <c r="F34" s="7">
        <f t="shared" ref="F34:F46" si="11">IF(AND(B34&lt;&gt;"",C34&lt;&gt;"",D34&lt;&gt;"",E34&lt;&gt;""),1,0)</f>
        <v>1</v>
      </c>
      <c r="G34" s="7">
        <f t="shared" ref="G34:G65" si="12">IF(F34=1,COUNTIF(C34:E34,"Utilizable"),"")</f>
        <v>3</v>
      </c>
      <c r="H34" s="7">
        <f t="shared" ref="H34:H65" si="13">IF(F34=1,COUNTIF(C34:E34,"Existe pero no dice eso"),"")</f>
        <v>0</v>
      </c>
      <c r="I34" s="7">
        <f t="shared" ref="I34:I65" si="14">IF(F34=1,COUNTIF(C34:E34,"No existe"),"")</f>
        <v>0</v>
      </c>
      <c r="J34" s="7" t="str">
        <f t="shared" ref="J34:J65" si="15">IF(F34=1,IF(G34&gt;=2,"Utilizable",IF(H34&gt;=2,"Existe pero no dice eso",IF(I34&gt;=2,"No existe","Sin mayoría"))),"")</f>
        <v>Utilizable</v>
      </c>
      <c r="K34" s="7">
        <f t="shared" ref="K34:K65" si="16">IF(F34=1,IF(MAX(G34,H34,I34)=3,1,0),"")</f>
        <v>1</v>
      </c>
      <c r="L34" s="7">
        <f t="shared" ref="L34:L65" si="17">IF(F34=1,IF(C34=D34,1,0),"")</f>
        <v>1</v>
      </c>
      <c r="M34" s="7">
        <f t="shared" ref="M34:M65" si="18">IF(F34=1,IF(C34=E34,1,0),"")</f>
        <v>1</v>
      </c>
      <c r="N34" s="7">
        <f t="shared" ref="N34:N65" si="19">IF(F34=1,IF(D34=E34,1,0),"")</f>
        <v>1</v>
      </c>
      <c r="O34" s="8">
        <f t="shared" ref="O34:O65" si="20">IF(F34=1,(G34^2+H34^2+I34^2-3)/6,"")</f>
        <v>1</v>
      </c>
      <c r="P34" s="7">
        <f t="shared" ref="P34:P65" si="21">IF(F34=1,IF(AND(K34=0,H34&gt;=1),1,0),"")</f>
        <v>0</v>
      </c>
    </row>
    <row r="35" spans="1:16" x14ac:dyDescent="0.25">
      <c r="A35" s="7" t="str">
        <f>Referencias!A35</f>
        <v>R34</v>
      </c>
      <c r="B35" s="7" t="str">
        <f>IF(Referencias!D35="","",Referencias!D35)</f>
        <v>A</v>
      </c>
      <c r="C35" s="7" t="str">
        <f>IF(Clasif_Isabella!E35="","",Clasif_Isabella!E35)</f>
        <v>Utilizable</v>
      </c>
      <c r="D35" s="7" t="str">
        <f>IF(Clasif_Eduar!E35="","",Clasif_Eduar!E35)</f>
        <v>Utilizable</v>
      </c>
      <c r="E35" s="7" t="str">
        <f>IF(Clasif_Anderson!E35="","",Clasif_Anderson!E35)</f>
        <v>Utilizable</v>
      </c>
      <c r="F35" s="7">
        <f t="shared" si="11"/>
        <v>1</v>
      </c>
      <c r="G35" s="7">
        <f t="shared" si="12"/>
        <v>3</v>
      </c>
      <c r="H35" s="7">
        <f t="shared" si="13"/>
        <v>0</v>
      </c>
      <c r="I35" s="7">
        <f t="shared" si="14"/>
        <v>0</v>
      </c>
      <c r="J35" s="7" t="str">
        <f t="shared" si="15"/>
        <v>Utilizable</v>
      </c>
      <c r="K35" s="7">
        <f t="shared" si="16"/>
        <v>1</v>
      </c>
      <c r="L35" s="7">
        <f t="shared" si="17"/>
        <v>1</v>
      </c>
      <c r="M35" s="7">
        <f t="shared" si="18"/>
        <v>1</v>
      </c>
      <c r="N35" s="7">
        <f t="shared" si="19"/>
        <v>1</v>
      </c>
      <c r="O35" s="8">
        <f t="shared" si="20"/>
        <v>1</v>
      </c>
      <c r="P35" s="7">
        <f t="shared" si="21"/>
        <v>0</v>
      </c>
    </row>
    <row r="36" spans="1:16" x14ac:dyDescent="0.25">
      <c r="A36" s="7" t="str">
        <f>Referencias!A36</f>
        <v>R35</v>
      </c>
      <c r="B36" s="7" t="str">
        <f>IF(Referencias!D36="","",Referencias!D36)</f>
        <v>A</v>
      </c>
      <c r="C36" s="7" t="str">
        <f>IF(Clasif_Isabella!E36="","",Clasif_Isabella!E36)</f>
        <v>Utilizable</v>
      </c>
      <c r="D36" s="7" t="str">
        <f>IF(Clasif_Eduar!E36="","",Clasif_Eduar!E36)</f>
        <v>Utilizable</v>
      </c>
      <c r="E36" s="7" t="str">
        <f>IF(Clasif_Anderson!E36="","",Clasif_Anderson!E36)</f>
        <v>Utilizable</v>
      </c>
      <c r="F36" s="7">
        <f t="shared" si="11"/>
        <v>1</v>
      </c>
      <c r="G36" s="7">
        <f t="shared" si="12"/>
        <v>3</v>
      </c>
      <c r="H36" s="7">
        <f t="shared" si="13"/>
        <v>0</v>
      </c>
      <c r="I36" s="7">
        <f t="shared" si="14"/>
        <v>0</v>
      </c>
      <c r="J36" s="7" t="str">
        <f t="shared" si="15"/>
        <v>Utilizable</v>
      </c>
      <c r="K36" s="7">
        <f t="shared" si="16"/>
        <v>1</v>
      </c>
      <c r="L36" s="7">
        <f t="shared" si="17"/>
        <v>1</v>
      </c>
      <c r="M36" s="7">
        <f t="shared" si="18"/>
        <v>1</v>
      </c>
      <c r="N36" s="7">
        <f t="shared" si="19"/>
        <v>1</v>
      </c>
      <c r="O36" s="8">
        <f t="shared" si="20"/>
        <v>1</v>
      </c>
      <c r="P36" s="7">
        <f t="shared" si="21"/>
        <v>0</v>
      </c>
    </row>
    <row r="37" spans="1:16" x14ac:dyDescent="0.25">
      <c r="A37" s="7" t="str">
        <f>Referencias!A37</f>
        <v>R36</v>
      </c>
      <c r="B37" s="7" t="str">
        <f>IF(Referencias!D37="","",Referencias!D37)</f>
        <v>B</v>
      </c>
      <c r="C37" s="7" t="str">
        <f>IF(Clasif_Isabella!E37="","",Clasif_Isabella!E37)</f>
        <v>Utilizable</v>
      </c>
      <c r="D37" s="7" t="str">
        <f>IF(Clasif_Eduar!E37="","",Clasif_Eduar!E37)</f>
        <v>Utilizable</v>
      </c>
      <c r="E37" s="7" t="str">
        <f>IF(Clasif_Anderson!E37="","",Clasif_Anderson!E37)</f>
        <v>Utilizable</v>
      </c>
      <c r="F37" s="7">
        <f t="shared" si="11"/>
        <v>1</v>
      </c>
      <c r="G37" s="7">
        <f t="shared" si="12"/>
        <v>3</v>
      </c>
      <c r="H37" s="7">
        <f t="shared" si="13"/>
        <v>0</v>
      </c>
      <c r="I37" s="7">
        <f t="shared" si="14"/>
        <v>0</v>
      </c>
      <c r="J37" s="7" t="str">
        <f t="shared" si="15"/>
        <v>Utilizable</v>
      </c>
      <c r="K37" s="7">
        <f t="shared" si="16"/>
        <v>1</v>
      </c>
      <c r="L37" s="7">
        <f t="shared" si="17"/>
        <v>1</v>
      </c>
      <c r="M37" s="7">
        <f t="shared" si="18"/>
        <v>1</v>
      </c>
      <c r="N37" s="7">
        <f t="shared" si="19"/>
        <v>1</v>
      </c>
      <c r="O37" s="8">
        <f t="shared" si="20"/>
        <v>1</v>
      </c>
      <c r="P37" s="7">
        <f t="shared" si="21"/>
        <v>0</v>
      </c>
    </row>
    <row r="38" spans="1:16" x14ac:dyDescent="0.25">
      <c r="A38" s="7" t="str">
        <f>Referencias!A38</f>
        <v>R37</v>
      </c>
      <c r="B38" s="7" t="str">
        <f>IF(Referencias!D38="","",Referencias!D38)</f>
        <v>B</v>
      </c>
      <c r="C38" s="7" t="str">
        <f>IF(Clasif_Isabella!E38="","",Clasif_Isabella!E38)</f>
        <v>Utilizable</v>
      </c>
      <c r="D38" s="7" t="str">
        <f>IF(Clasif_Eduar!E38="","",Clasif_Eduar!E38)</f>
        <v>Utilizable</v>
      </c>
      <c r="E38" s="7" t="str">
        <f>IF(Clasif_Anderson!E38="","",Clasif_Anderson!E38)</f>
        <v>Utilizable</v>
      </c>
      <c r="F38" s="7">
        <f t="shared" si="11"/>
        <v>1</v>
      </c>
      <c r="G38" s="7">
        <f t="shared" si="12"/>
        <v>3</v>
      </c>
      <c r="H38" s="7">
        <f t="shared" si="13"/>
        <v>0</v>
      </c>
      <c r="I38" s="7">
        <f t="shared" si="14"/>
        <v>0</v>
      </c>
      <c r="J38" s="7" t="str">
        <f t="shared" si="15"/>
        <v>Utilizable</v>
      </c>
      <c r="K38" s="7">
        <f t="shared" si="16"/>
        <v>1</v>
      </c>
      <c r="L38" s="7">
        <f t="shared" si="17"/>
        <v>1</v>
      </c>
      <c r="M38" s="7">
        <f t="shared" si="18"/>
        <v>1</v>
      </c>
      <c r="N38" s="7">
        <f t="shared" si="19"/>
        <v>1</v>
      </c>
      <c r="O38" s="8">
        <f t="shared" si="20"/>
        <v>1</v>
      </c>
      <c r="P38" s="7">
        <f t="shared" si="21"/>
        <v>0</v>
      </c>
    </row>
    <row r="39" spans="1:16" x14ac:dyDescent="0.25">
      <c r="A39" s="7" t="str">
        <f>Referencias!A39</f>
        <v>R38</v>
      </c>
      <c r="B39" s="7" t="str">
        <f>IF(Referencias!D39="","",Referencias!D39)</f>
        <v>B</v>
      </c>
      <c r="C39" s="7" t="str">
        <f>IF(Clasif_Isabella!E39="","",Clasif_Isabella!E39)</f>
        <v>Existe pero no dice eso</v>
      </c>
      <c r="D39" s="7" t="str">
        <f>IF(Clasif_Eduar!E39="","",Clasif_Eduar!E39)</f>
        <v>Utilizable</v>
      </c>
      <c r="E39" s="7" t="str">
        <f>IF(Clasif_Anderson!E39="","",Clasif_Anderson!E39)</f>
        <v>Existe pero no dice eso</v>
      </c>
      <c r="F39" s="7">
        <f t="shared" si="11"/>
        <v>1</v>
      </c>
      <c r="G39" s="7">
        <f t="shared" si="12"/>
        <v>1</v>
      </c>
      <c r="H39" s="7">
        <f t="shared" si="13"/>
        <v>2</v>
      </c>
      <c r="I39" s="7">
        <f t="shared" si="14"/>
        <v>0</v>
      </c>
      <c r="J39" s="7" t="str">
        <f t="shared" si="15"/>
        <v>Existe pero no dice eso</v>
      </c>
      <c r="K39" s="7">
        <f t="shared" si="16"/>
        <v>0</v>
      </c>
      <c r="L39" s="7">
        <f t="shared" si="17"/>
        <v>0</v>
      </c>
      <c r="M39" s="7">
        <f t="shared" si="18"/>
        <v>1</v>
      </c>
      <c r="N39" s="7">
        <f t="shared" si="19"/>
        <v>0</v>
      </c>
      <c r="O39" s="8">
        <f t="shared" si="20"/>
        <v>0.33333333333333331</v>
      </c>
      <c r="P39" s="7">
        <f t="shared" si="21"/>
        <v>1</v>
      </c>
    </row>
    <row r="40" spans="1:16" x14ac:dyDescent="0.25">
      <c r="A40" s="7" t="str">
        <f>Referencias!A40</f>
        <v>R39</v>
      </c>
      <c r="B40" s="7" t="str">
        <f>IF(Referencias!D40="","",Referencias!D40)</f>
        <v>B</v>
      </c>
      <c r="C40" s="7" t="str">
        <f>IF(Clasif_Isabella!E40="","",Clasif_Isabella!E40)</f>
        <v>Existe pero no dice eso</v>
      </c>
      <c r="D40" s="7" t="str">
        <f>IF(Clasif_Eduar!E40="","",Clasif_Eduar!E40)</f>
        <v>Existe pero no dice eso</v>
      </c>
      <c r="E40" s="7" t="str">
        <f>IF(Clasif_Anderson!E40="","",Clasif_Anderson!E40)</f>
        <v>Existe pero no dice eso</v>
      </c>
      <c r="F40" s="7">
        <f t="shared" si="11"/>
        <v>1</v>
      </c>
      <c r="G40" s="7">
        <f t="shared" si="12"/>
        <v>0</v>
      </c>
      <c r="H40" s="7">
        <f t="shared" si="13"/>
        <v>3</v>
      </c>
      <c r="I40" s="7">
        <f t="shared" si="14"/>
        <v>0</v>
      </c>
      <c r="J40" s="7" t="str">
        <f t="shared" si="15"/>
        <v>Existe pero no dice eso</v>
      </c>
      <c r="K40" s="7">
        <f t="shared" si="16"/>
        <v>1</v>
      </c>
      <c r="L40" s="7">
        <f t="shared" si="17"/>
        <v>1</v>
      </c>
      <c r="M40" s="7">
        <f t="shared" si="18"/>
        <v>1</v>
      </c>
      <c r="N40" s="7">
        <f t="shared" si="19"/>
        <v>1</v>
      </c>
      <c r="O40" s="8">
        <f t="shared" si="20"/>
        <v>1</v>
      </c>
      <c r="P40" s="7">
        <f t="shared" si="21"/>
        <v>0</v>
      </c>
    </row>
    <row r="41" spans="1:16" x14ac:dyDescent="0.25">
      <c r="A41" s="7" t="str">
        <f>Referencias!A41</f>
        <v>R40</v>
      </c>
      <c r="B41" s="7" t="str">
        <f>IF(Referencias!D41="","",Referencias!D41)</f>
        <v>B</v>
      </c>
      <c r="C41" s="7" t="str">
        <f>IF(Clasif_Isabella!E41="","",Clasif_Isabella!E41)</f>
        <v>Existe pero no dice eso</v>
      </c>
      <c r="D41" s="7" t="str">
        <f>IF(Clasif_Eduar!E41="","",Clasif_Eduar!E41)</f>
        <v>Utilizable</v>
      </c>
      <c r="E41" s="7" t="str">
        <f>IF(Clasif_Anderson!E41="","",Clasif_Anderson!E41)</f>
        <v>Existe pero no dice eso</v>
      </c>
      <c r="F41" s="7">
        <f t="shared" si="11"/>
        <v>1</v>
      </c>
      <c r="G41" s="7">
        <f t="shared" si="12"/>
        <v>1</v>
      </c>
      <c r="H41" s="7">
        <f t="shared" si="13"/>
        <v>2</v>
      </c>
      <c r="I41" s="7">
        <f t="shared" si="14"/>
        <v>0</v>
      </c>
      <c r="J41" s="7" t="str">
        <f t="shared" si="15"/>
        <v>Existe pero no dice eso</v>
      </c>
      <c r="K41" s="7">
        <f t="shared" si="16"/>
        <v>0</v>
      </c>
      <c r="L41" s="7">
        <f t="shared" si="17"/>
        <v>0</v>
      </c>
      <c r="M41" s="7">
        <f t="shared" si="18"/>
        <v>1</v>
      </c>
      <c r="N41" s="7">
        <f t="shared" si="19"/>
        <v>0</v>
      </c>
      <c r="O41" s="8">
        <f t="shared" si="20"/>
        <v>0.33333333333333331</v>
      </c>
      <c r="P41" s="7">
        <f t="shared" si="21"/>
        <v>1</v>
      </c>
    </row>
    <row r="42" spans="1:16" x14ac:dyDescent="0.25">
      <c r="A42" s="7" t="str">
        <f>Referencias!A42</f>
        <v>R41</v>
      </c>
      <c r="B42" s="7" t="str">
        <f>IF(Referencias!D42="","",Referencias!D42)</f>
        <v>C</v>
      </c>
      <c r="C42" s="7" t="str">
        <f>IF(Clasif_Isabella!E42="","",Clasif_Isabella!E42)</f>
        <v>Utilizable</v>
      </c>
      <c r="D42" s="7" t="str">
        <f>IF(Clasif_Eduar!E42="","",Clasif_Eduar!E42)</f>
        <v>Utilizable</v>
      </c>
      <c r="E42" s="7" t="str">
        <f>IF(Clasif_Anderson!E42="","",Clasif_Anderson!E42)</f>
        <v>Utilizable</v>
      </c>
      <c r="F42" s="7">
        <f t="shared" si="11"/>
        <v>1</v>
      </c>
      <c r="G42" s="7">
        <f t="shared" si="12"/>
        <v>3</v>
      </c>
      <c r="H42" s="7">
        <f t="shared" si="13"/>
        <v>0</v>
      </c>
      <c r="I42" s="7">
        <f t="shared" si="14"/>
        <v>0</v>
      </c>
      <c r="J42" s="7" t="str">
        <f t="shared" si="15"/>
        <v>Utilizable</v>
      </c>
      <c r="K42" s="7">
        <f t="shared" si="16"/>
        <v>1</v>
      </c>
      <c r="L42" s="7">
        <f t="shared" si="17"/>
        <v>1</v>
      </c>
      <c r="M42" s="7">
        <f t="shared" si="18"/>
        <v>1</v>
      </c>
      <c r="N42" s="7">
        <f t="shared" si="19"/>
        <v>1</v>
      </c>
      <c r="O42" s="8">
        <f t="shared" si="20"/>
        <v>1</v>
      </c>
      <c r="P42" s="7">
        <f t="shared" si="21"/>
        <v>0</v>
      </c>
    </row>
    <row r="43" spans="1:16" x14ac:dyDescent="0.25">
      <c r="A43" s="7" t="str">
        <f>Referencias!A43</f>
        <v>R42</v>
      </c>
      <c r="B43" s="7" t="str">
        <f>IF(Referencias!D43="","",Referencias!D43)</f>
        <v>C</v>
      </c>
      <c r="C43" s="7" t="str">
        <f>IF(Clasif_Isabella!E43="","",Clasif_Isabella!E43)</f>
        <v>Utilizable</v>
      </c>
      <c r="D43" s="7" t="str">
        <f>IF(Clasif_Eduar!E43="","",Clasif_Eduar!E43)</f>
        <v>Utilizable</v>
      </c>
      <c r="E43" s="7" t="str">
        <f>IF(Clasif_Anderson!E43="","",Clasif_Anderson!E43)</f>
        <v>Utilizable</v>
      </c>
      <c r="F43" s="7">
        <f t="shared" si="11"/>
        <v>1</v>
      </c>
      <c r="G43" s="7">
        <f t="shared" si="12"/>
        <v>3</v>
      </c>
      <c r="H43" s="7">
        <f t="shared" si="13"/>
        <v>0</v>
      </c>
      <c r="I43" s="7">
        <f t="shared" si="14"/>
        <v>0</v>
      </c>
      <c r="J43" s="7" t="str">
        <f t="shared" si="15"/>
        <v>Utilizable</v>
      </c>
      <c r="K43" s="7">
        <f t="shared" si="16"/>
        <v>1</v>
      </c>
      <c r="L43" s="7">
        <f t="shared" si="17"/>
        <v>1</v>
      </c>
      <c r="M43" s="7">
        <f t="shared" si="18"/>
        <v>1</v>
      </c>
      <c r="N43" s="7">
        <f t="shared" si="19"/>
        <v>1</v>
      </c>
      <c r="O43" s="8">
        <f t="shared" si="20"/>
        <v>1</v>
      </c>
      <c r="P43" s="7">
        <f t="shared" si="21"/>
        <v>0</v>
      </c>
    </row>
    <row r="44" spans="1:16" x14ac:dyDescent="0.25">
      <c r="A44" s="7" t="str">
        <f>Referencias!A44</f>
        <v>R43</v>
      </c>
      <c r="B44" s="7" t="str">
        <f>IF(Referencias!D44="","",Referencias!D44)</f>
        <v>C</v>
      </c>
      <c r="C44" s="7" t="str">
        <f>IF(Clasif_Isabella!E44="","",Clasif_Isabella!E44)</f>
        <v>Utilizable</v>
      </c>
      <c r="D44" s="7" t="str">
        <f>IF(Clasif_Eduar!E44="","",Clasif_Eduar!E44)</f>
        <v>No existe</v>
      </c>
      <c r="E44" s="7" t="str">
        <f>IF(Clasif_Anderson!E44="","",Clasif_Anderson!E44)</f>
        <v>Utilizable</v>
      </c>
      <c r="F44" s="7">
        <f t="shared" si="11"/>
        <v>1</v>
      </c>
      <c r="G44" s="7">
        <f t="shared" si="12"/>
        <v>2</v>
      </c>
      <c r="H44" s="7">
        <f t="shared" si="13"/>
        <v>0</v>
      </c>
      <c r="I44" s="7">
        <f t="shared" si="14"/>
        <v>1</v>
      </c>
      <c r="J44" s="7" t="str">
        <f t="shared" si="15"/>
        <v>Utilizable</v>
      </c>
      <c r="K44" s="7">
        <f t="shared" si="16"/>
        <v>0</v>
      </c>
      <c r="L44" s="7">
        <f t="shared" si="17"/>
        <v>0</v>
      </c>
      <c r="M44" s="7">
        <f t="shared" si="18"/>
        <v>1</v>
      </c>
      <c r="N44" s="7">
        <f t="shared" si="19"/>
        <v>0</v>
      </c>
      <c r="O44" s="8">
        <f t="shared" si="20"/>
        <v>0.33333333333333331</v>
      </c>
      <c r="P44" s="7">
        <f t="shared" si="21"/>
        <v>0</v>
      </c>
    </row>
    <row r="45" spans="1:16" x14ac:dyDescent="0.25">
      <c r="A45" s="7" t="str">
        <f>Referencias!A45</f>
        <v>R44</v>
      </c>
      <c r="B45" s="7" t="str">
        <f>IF(Referencias!D45="","",Referencias!D45)</f>
        <v>C</v>
      </c>
      <c r="C45" s="7" t="str">
        <f>IF(Clasif_Isabella!E45="","",Clasif_Isabella!E45)</f>
        <v>No existe</v>
      </c>
      <c r="D45" s="7" t="str">
        <f>IF(Clasif_Eduar!E45="","",Clasif_Eduar!E45)</f>
        <v>No existe</v>
      </c>
      <c r="E45" s="7" t="str">
        <f>IF(Clasif_Anderson!E45="","",Clasif_Anderson!E45)</f>
        <v>No existe</v>
      </c>
      <c r="F45" s="7">
        <f t="shared" si="11"/>
        <v>1</v>
      </c>
      <c r="G45" s="7">
        <f t="shared" si="12"/>
        <v>0</v>
      </c>
      <c r="H45" s="7">
        <f t="shared" si="13"/>
        <v>0</v>
      </c>
      <c r="I45" s="7">
        <f t="shared" si="14"/>
        <v>3</v>
      </c>
      <c r="J45" s="7" t="str">
        <f t="shared" si="15"/>
        <v>No existe</v>
      </c>
      <c r="K45" s="7">
        <f t="shared" si="16"/>
        <v>1</v>
      </c>
      <c r="L45" s="7">
        <f t="shared" si="17"/>
        <v>1</v>
      </c>
      <c r="M45" s="7">
        <f t="shared" si="18"/>
        <v>1</v>
      </c>
      <c r="N45" s="7">
        <f t="shared" si="19"/>
        <v>1</v>
      </c>
      <c r="O45" s="8">
        <f t="shared" si="20"/>
        <v>1</v>
      </c>
      <c r="P45" s="7">
        <f t="shared" si="21"/>
        <v>0</v>
      </c>
    </row>
    <row r="46" spans="1:16" x14ac:dyDescent="0.25">
      <c r="A46" s="7" t="str">
        <f>Referencias!A46</f>
        <v>R45</v>
      </c>
      <c r="B46" s="7" t="str">
        <f>IF(Referencias!D46="","",Referencias!D46)</f>
        <v>C</v>
      </c>
      <c r="C46" s="7" t="str">
        <f>IF(Clasif_Isabella!E46="","",Clasif_Isabella!E46)</f>
        <v>Utilizable</v>
      </c>
      <c r="D46" s="7" t="str">
        <f>IF(Clasif_Eduar!E46="","",Clasif_Eduar!E46)</f>
        <v>Utilizable</v>
      </c>
      <c r="E46" s="7" t="str">
        <f>IF(Clasif_Anderson!E46="","",Clasif_Anderson!E46)</f>
        <v>Utilizable</v>
      </c>
      <c r="F46" s="7">
        <f t="shared" si="11"/>
        <v>1</v>
      </c>
      <c r="G46" s="7">
        <f t="shared" si="12"/>
        <v>3</v>
      </c>
      <c r="H46" s="7">
        <f t="shared" si="13"/>
        <v>0</v>
      </c>
      <c r="I46" s="7">
        <f t="shared" si="14"/>
        <v>0</v>
      </c>
      <c r="J46" s="7" t="str">
        <f t="shared" si="15"/>
        <v>Utilizable</v>
      </c>
      <c r="K46" s="7">
        <f t="shared" si="16"/>
        <v>1</v>
      </c>
      <c r="L46" s="7">
        <f t="shared" si="17"/>
        <v>1</v>
      </c>
      <c r="M46" s="7">
        <f t="shared" si="18"/>
        <v>1</v>
      </c>
      <c r="N46" s="7">
        <f t="shared" si="19"/>
        <v>1</v>
      </c>
      <c r="O46" s="8">
        <f t="shared" si="20"/>
        <v>1</v>
      </c>
      <c r="P46" s="7">
        <f t="shared" si="21"/>
        <v>0</v>
      </c>
    </row>
    <row r="47" spans="1:16" x14ac:dyDescent="0.25">
      <c r="G47" s="7" t="str">
        <f t="shared" si="12"/>
        <v/>
      </c>
      <c r="H47" s="7" t="str">
        <f t="shared" si="13"/>
        <v/>
      </c>
      <c r="I47" s="7" t="str">
        <f t="shared" si="14"/>
        <v/>
      </c>
      <c r="J47" s="7" t="str">
        <f t="shared" si="15"/>
        <v/>
      </c>
      <c r="K47" s="7" t="str">
        <f t="shared" si="16"/>
        <v/>
      </c>
      <c r="L47" s="7" t="str">
        <f t="shared" si="17"/>
        <v/>
      </c>
      <c r="M47" s="7" t="str">
        <f t="shared" si="18"/>
        <v/>
      </c>
      <c r="N47" s="7" t="str">
        <f t="shared" si="19"/>
        <v/>
      </c>
      <c r="O47" s="8" t="str">
        <f t="shared" si="20"/>
        <v/>
      </c>
      <c r="P47" s="7" t="str">
        <f t="shared" si="21"/>
        <v/>
      </c>
    </row>
    <row r="48" spans="1:16" x14ac:dyDescent="0.25">
      <c r="G48" s="7" t="str">
        <f t="shared" si="12"/>
        <v/>
      </c>
      <c r="H48" s="7" t="str">
        <f t="shared" si="13"/>
        <v/>
      </c>
      <c r="I48" s="7" t="str">
        <f t="shared" si="14"/>
        <v/>
      </c>
      <c r="J48" s="7" t="str">
        <f t="shared" si="15"/>
        <v/>
      </c>
      <c r="K48" s="7" t="str">
        <f t="shared" si="16"/>
        <v/>
      </c>
      <c r="L48" s="7" t="str">
        <f t="shared" si="17"/>
        <v/>
      </c>
      <c r="M48" s="7" t="str">
        <f t="shared" si="18"/>
        <v/>
      </c>
      <c r="N48" s="7" t="str">
        <f t="shared" si="19"/>
        <v/>
      </c>
      <c r="O48" s="8" t="str">
        <f t="shared" si="20"/>
        <v/>
      </c>
      <c r="P48" s="7" t="str">
        <f t="shared" si="21"/>
        <v/>
      </c>
    </row>
    <row r="49" spans="7:16" x14ac:dyDescent="0.25">
      <c r="G49" s="7" t="str">
        <f t="shared" si="12"/>
        <v/>
      </c>
      <c r="H49" s="7" t="str">
        <f t="shared" si="13"/>
        <v/>
      </c>
      <c r="I49" s="7" t="str">
        <f t="shared" si="14"/>
        <v/>
      </c>
      <c r="J49" s="7" t="str">
        <f t="shared" si="15"/>
        <v/>
      </c>
      <c r="K49" s="7" t="str">
        <f t="shared" si="16"/>
        <v/>
      </c>
      <c r="L49" s="7" t="str">
        <f t="shared" si="17"/>
        <v/>
      </c>
      <c r="M49" s="7" t="str">
        <f t="shared" si="18"/>
        <v/>
      </c>
      <c r="N49" s="7" t="str">
        <f t="shared" si="19"/>
        <v/>
      </c>
      <c r="O49" s="8" t="str">
        <f t="shared" si="20"/>
        <v/>
      </c>
      <c r="P49" s="7" t="str">
        <f t="shared" si="21"/>
        <v/>
      </c>
    </row>
    <row r="50" spans="7:16" x14ac:dyDescent="0.25">
      <c r="G50" s="7" t="str">
        <f t="shared" si="12"/>
        <v/>
      </c>
      <c r="H50" s="7" t="str">
        <f t="shared" si="13"/>
        <v/>
      </c>
      <c r="I50" s="7" t="str">
        <f t="shared" si="14"/>
        <v/>
      </c>
      <c r="J50" s="7" t="str">
        <f t="shared" si="15"/>
        <v/>
      </c>
      <c r="K50" s="7" t="str">
        <f t="shared" si="16"/>
        <v/>
      </c>
      <c r="L50" s="7" t="str">
        <f t="shared" si="17"/>
        <v/>
      </c>
      <c r="M50" s="7" t="str">
        <f t="shared" si="18"/>
        <v/>
      </c>
      <c r="N50" s="7" t="str">
        <f t="shared" si="19"/>
        <v/>
      </c>
      <c r="O50" s="8" t="str">
        <f t="shared" si="20"/>
        <v/>
      </c>
      <c r="P50" s="7" t="str">
        <f t="shared" si="21"/>
        <v/>
      </c>
    </row>
    <row r="51" spans="7:16" x14ac:dyDescent="0.25">
      <c r="G51" s="7" t="str">
        <f t="shared" si="12"/>
        <v/>
      </c>
      <c r="H51" s="7" t="str">
        <f t="shared" si="13"/>
        <v/>
      </c>
      <c r="I51" s="7" t="str">
        <f t="shared" si="14"/>
        <v/>
      </c>
      <c r="J51" s="7" t="str">
        <f t="shared" si="15"/>
        <v/>
      </c>
      <c r="K51" s="7" t="str">
        <f t="shared" si="16"/>
        <v/>
      </c>
      <c r="L51" s="7" t="str">
        <f t="shared" si="17"/>
        <v/>
      </c>
      <c r="M51" s="7" t="str">
        <f t="shared" si="18"/>
        <v/>
      </c>
      <c r="N51" s="7" t="str">
        <f t="shared" si="19"/>
        <v/>
      </c>
      <c r="O51" s="8" t="str">
        <f t="shared" si="20"/>
        <v/>
      </c>
      <c r="P51" s="7" t="str">
        <f t="shared" si="21"/>
        <v/>
      </c>
    </row>
    <row r="52" spans="7:16" x14ac:dyDescent="0.25">
      <c r="G52" s="7" t="str">
        <f t="shared" si="12"/>
        <v/>
      </c>
      <c r="H52" s="7" t="str">
        <f t="shared" si="13"/>
        <v/>
      </c>
      <c r="I52" s="7" t="str">
        <f t="shared" si="14"/>
        <v/>
      </c>
      <c r="J52" s="7" t="str">
        <f t="shared" si="15"/>
        <v/>
      </c>
      <c r="K52" s="7" t="str">
        <f t="shared" si="16"/>
        <v/>
      </c>
      <c r="L52" s="7" t="str">
        <f t="shared" si="17"/>
        <v/>
      </c>
      <c r="M52" s="7" t="str">
        <f t="shared" si="18"/>
        <v/>
      </c>
      <c r="N52" s="7" t="str">
        <f t="shared" si="19"/>
        <v/>
      </c>
      <c r="O52" s="8" t="str">
        <f t="shared" si="20"/>
        <v/>
      </c>
      <c r="P52" s="7" t="str">
        <f t="shared" si="21"/>
        <v/>
      </c>
    </row>
    <row r="53" spans="7:16" x14ac:dyDescent="0.25">
      <c r="G53" s="7" t="str">
        <f t="shared" si="12"/>
        <v/>
      </c>
      <c r="H53" s="7" t="str">
        <f t="shared" si="13"/>
        <v/>
      </c>
      <c r="I53" s="7" t="str">
        <f t="shared" si="14"/>
        <v/>
      </c>
      <c r="J53" s="7" t="str">
        <f t="shared" si="15"/>
        <v/>
      </c>
      <c r="K53" s="7" t="str">
        <f t="shared" si="16"/>
        <v/>
      </c>
      <c r="L53" s="7" t="str">
        <f t="shared" si="17"/>
        <v/>
      </c>
      <c r="M53" s="7" t="str">
        <f t="shared" si="18"/>
        <v/>
      </c>
      <c r="N53" s="7" t="str">
        <f t="shared" si="19"/>
        <v/>
      </c>
      <c r="O53" s="8" t="str">
        <f t="shared" si="20"/>
        <v/>
      </c>
      <c r="P53" s="7" t="str">
        <f t="shared" si="21"/>
        <v/>
      </c>
    </row>
    <row r="54" spans="7:16" x14ac:dyDescent="0.25">
      <c r="G54" s="7" t="str">
        <f t="shared" si="12"/>
        <v/>
      </c>
      <c r="H54" s="7" t="str">
        <f t="shared" si="13"/>
        <v/>
      </c>
      <c r="I54" s="7" t="str">
        <f t="shared" si="14"/>
        <v/>
      </c>
      <c r="J54" s="7" t="str">
        <f t="shared" si="15"/>
        <v/>
      </c>
      <c r="K54" s="7" t="str">
        <f t="shared" si="16"/>
        <v/>
      </c>
      <c r="L54" s="7" t="str">
        <f t="shared" si="17"/>
        <v/>
      </c>
      <c r="M54" s="7" t="str">
        <f t="shared" si="18"/>
        <v/>
      </c>
      <c r="N54" s="7" t="str">
        <f t="shared" si="19"/>
        <v/>
      </c>
      <c r="O54" s="8" t="str">
        <f t="shared" si="20"/>
        <v/>
      </c>
      <c r="P54" s="7" t="str">
        <f t="shared" si="21"/>
        <v/>
      </c>
    </row>
    <row r="55" spans="7:16" x14ac:dyDescent="0.25">
      <c r="G55" s="7" t="str">
        <f t="shared" si="12"/>
        <v/>
      </c>
      <c r="H55" s="7" t="str">
        <f t="shared" si="13"/>
        <v/>
      </c>
      <c r="I55" s="7" t="str">
        <f t="shared" si="14"/>
        <v/>
      </c>
      <c r="J55" s="7" t="str">
        <f t="shared" si="15"/>
        <v/>
      </c>
      <c r="K55" s="7" t="str">
        <f t="shared" si="16"/>
        <v/>
      </c>
      <c r="L55" s="7" t="str">
        <f t="shared" si="17"/>
        <v/>
      </c>
      <c r="M55" s="7" t="str">
        <f t="shared" si="18"/>
        <v/>
      </c>
      <c r="N55" s="7" t="str">
        <f t="shared" si="19"/>
        <v/>
      </c>
      <c r="O55" s="8" t="str">
        <f t="shared" si="20"/>
        <v/>
      </c>
      <c r="P55" s="7" t="str">
        <f t="shared" si="21"/>
        <v/>
      </c>
    </row>
    <row r="56" spans="7:16" x14ac:dyDescent="0.25">
      <c r="G56" s="7" t="str">
        <f t="shared" si="12"/>
        <v/>
      </c>
      <c r="H56" s="7" t="str">
        <f t="shared" si="13"/>
        <v/>
      </c>
      <c r="I56" s="7" t="str">
        <f t="shared" si="14"/>
        <v/>
      </c>
      <c r="J56" s="7" t="str">
        <f t="shared" si="15"/>
        <v/>
      </c>
      <c r="K56" s="7" t="str">
        <f t="shared" si="16"/>
        <v/>
      </c>
      <c r="L56" s="7" t="str">
        <f t="shared" si="17"/>
        <v/>
      </c>
      <c r="M56" s="7" t="str">
        <f t="shared" si="18"/>
        <v/>
      </c>
      <c r="N56" s="7" t="str">
        <f t="shared" si="19"/>
        <v/>
      </c>
      <c r="O56" s="8" t="str">
        <f t="shared" si="20"/>
        <v/>
      </c>
      <c r="P56" s="7" t="str">
        <f t="shared" si="21"/>
        <v/>
      </c>
    </row>
    <row r="57" spans="7:16" x14ac:dyDescent="0.25">
      <c r="G57" s="7" t="str">
        <f t="shared" si="12"/>
        <v/>
      </c>
      <c r="H57" s="7" t="str">
        <f t="shared" si="13"/>
        <v/>
      </c>
      <c r="I57" s="7" t="str">
        <f t="shared" si="14"/>
        <v/>
      </c>
      <c r="J57" s="7" t="str">
        <f t="shared" si="15"/>
        <v/>
      </c>
      <c r="K57" s="7" t="str">
        <f t="shared" si="16"/>
        <v/>
      </c>
      <c r="L57" s="7" t="str">
        <f t="shared" si="17"/>
        <v/>
      </c>
      <c r="M57" s="7" t="str">
        <f t="shared" si="18"/>
        <v/>
      </c>
      <c r="N57" s="7" t="str">
        <f t="shared" si="19"/>
        <v/>
      </c>
      <c r="O57" s="8" t="str">
        <f t="shared" si="20"/>
        <v/>
      </c>
      <c r="P57" s="7" t="str">
        <f t="shared" si="21"/>
        <v/>
      </c>
    </row>
    <row r="58" spans="7:16" x14ac:dyDescent="0.25">
      <c r="G58" s="7" t="str">
        <f t="shared" si="12"/>
        <v/>
      </c>
      <c r="H58" s="7" t="str">
        <f t="shared" si="13"/>
        <v/>
      </c>
      <c r="I58" s="7" t="str">
        <f t="shared" si="14"/>
        <v/>
      </c>
      <c r="J58" s="7" t="str">
        <f t="shared" si="15"/>
        <v/>
      </c>
      <c r="K58" s="7" t="str">
        <f t="shared" si="16"/>
        <v/>
      </c>
      <c r="L58" s="7" t="str">
        <f t="shared" si="17"/>
        <v/>
      </c>
      <c r="M58" s="7" t="str">
        <f t="shared" si="18"/>
        <v/>
      </c>
      <c r="N58" s="7" t="str">
        <f t="shared" si="19"/>
        <v/>
      </c>
      <c r="O58" s="8" t="str">
        <f t="shared" si="20"/>
        <v/>
      </c>
      <c r="P58" s="7" t="str">
        <f t="shared" si="21"/>
        <v/>
      </c>
    </row>
    <row r="59" spans="7:16" x14ac:dyDescent="0.25">
      <c r="G59" s="7" t="str">
        <f t="shared" si="12"/>
        <v/>
      </c>
      <c r="H59" s="7" t="str">
        <f t="shared" si="13"/>
        <v/>
      </c>
      <c r="I59" s="7" t="str">
        <f t="shared" si="14"/>
        <v/>
      </c>
      <c r="J59" s="7" t="str">
        <f t="shared" si="15"/>
        <v/>
      </c>
      <c r="K59" s="7" t="str">
        <f t="shared" si="16"/>
        <v/>
      </c>
      <c r="L59" s="7" t="str">
        <f t="shared" si="17"/>
        <v/>
      </c>
      <c r="M59" s="7" t="str">
        <f t="shared" si="18"/>
        <v/>
      </c>
      <c r="N59" s="7" t="str">
        <f t="shared" si="19"/>
        <v/>
      </c>
      <c r="O59" s="8" t="str">
        <f t="shared" si="20"/>
        <v/>
      </c>
      <c r="P59" s="7" t="str">
        <f t="shared" si="21"/>
        <v/>
      </c>
    </row>
    <row r="60" spans="7:16" x14ac:dyDescent="0.25">
      <c r="G60" s="7" t="str">
        <f t="shared" si="12"/>
        <v/>
      </c>
      <c r="H60" s="7" t="str">
        <f t="shared" si="13"/>
        <v/>
      </c>
      <c r="I60" s="7" t="str">
        <f t="shared" si="14"/>
        <v/>
      </c>
      <c r="J60" s="7" t="str">
        <f t="shared" si="15"/>
        <v/>
      </c>
      <c r="K60" s="7" t="str">
        <f t="shared" si="16"/>
        <v/>
      </c>
      <c r="L60" s="7" t="str">
        <f t="shared" si="17"/>
        <v/>
      </c>
      <c r="M60" s="7" t="str">
        <f t="shared" si="18"/>
        <v/>
      </c>
      <c r="N60" s="7" t="str">
        <f t="shared" si="19"/>
        <v/>
      </c>
      <c r="O60" s="8" t="str">
        <f t="shared" si="20"/>
        <v/>
      </c>
      <c r="P60" s="7" t="str">
        <f t="shared" si="21"/>
        <v/>
      </c>
    </row>
    <row r="61" spans="7:16" x14ac:dyDescent="0.25">
      <c r="G61" s="7" t="str">
        <f t="shared" si="12"/>
        <v/>
      </c>
      <c r="H61" s="7" t="str">
        <f t="shared" si="13"/>
        <v/>
      </c>
      <c r="I61" s="7" t="str">
        <f t="shared" si="14"/>
        <v/>
      </c>
      <c r="J61" s="7" t="str">
        <f t="shared" si="15"/>
        <v/>
      </c>
      <c r="K61" s="7" t="str">
        <f t="shared" si="16"/>
        <v/>
      </c>
      <c r="L61" s="7" t="str">
        <f t="shared" si="17"/>
        <v/>
      </c>
      <c r="M61" s="7" t="str">
        <f t="shared" si="18"/>
        <v/>
      </c>
      <c r="N61" s="7" t="str">
        <f t="shared" si="19"/>
        <v/>
      </c>
      <c r="O61" s="8" t="str">
        <f t="shared" si="20"/>
        <v/>
      </c>
      <c r="P61" s="7" t="str">
        <f t="shared" si="21"/>
        <v/>
      </c>
    </row>
    <row r="62" spans="7:16" x14ac:dyDescent="0.25">
      <c r="G62" s="7" t="str">
        <f t="shared" si="12"/>
        <v/>
      </c>
      <c r="H62" s="7" t="str">
        <f t="shared" si="13"/>
        <v/>
      </c>
      <c r="I62" s="7" t="str">
        <f t="shared" si="14"/>
        <v/>
      </c>
      <c r="J62" s="7" t="str">
        <f t="shared" si="15"/>
        <v/>
      </c>
      <c r="K62" s="7" t="str">
        <f t="shared" si="16"/>
        <v/>
      </c>
      <c r="L62" s="7" t="str">
        <f t="shared" si="17"/>
        <v/>
      </c>
      <c r="M62" s="7" t="str">
        <f t="shared" si="18"/>
        <v/>
      </c>
      <c r="N62" s="7" t="str">
        <f t="shared" si="19"/>
        <v/>
      </c>
      <c r="O62" s="8" t="str">
        <f t="shared" si="20"/>
        <v/>
      </c>
      <c r="P62" s="7" t="str">
        <f t="shared" si="21"/>
        <v/>
      </c>
    </row>
    <row r="63" spans="7:16" x14ac:dyDescent="0.25">
      <c r="G63" s="7" t="str">
        <f t="shared" si="12"/>
        <v/>
      </c>
      <c r="H63" s="7" t="str">
        <f t="shared" si="13"/>
        <v/>
      </c>
      <c r="I63" s="7" t="str">
        <f t="shared" si="14"/>
        <v/>
      </c>
      <c r="J63" s="7" t="str">
        <f t="shared" si="15"/>
        <v/>
      </c>
      <c r="K63" s="7" t="str">
        <f t="shared" si="16"/>
        <v/>
      </c>
      <c r="L63" s="7" t="str">
        <f t="shared" si="17"/>
        <v/>
      </c>
      <c r="M63" s="7" t="str">
        <f t="shared" si="18"/>
        <v/>
      </c>
      <c r="N63" s="7" t="str">
        <f t="shared" si="19"/>
        <v/>
      </c>
      <c r="O63" s="8" t="str">
        <f t="shared" si="20"/>
        <v/>
      </c>
      <c r="P63" s="7" t="str">
        <f t="shared" si="21"/>
        <v/>
      </c>
    </row>
    <row r="64" spans="7:16" x14ac:dyDescent="0.25">
      <c r="G64" s="7" t="str">
        <f t="shared" si="12"/>
        <v/>
      </c>
      <c r="H64" s="7" t="str">
        <f t="shared" si="13"/>
        <v/>
      </c>
      <c r="I64" s="7" t="str">
        <f t="shared" si="14"/>
        <v/>
      </c>
      <c r="J64" s="7" t="str">
        <f t="shared" si="15"/>
        <v/>
      </c>
      <c r="K64" s="7" t="str">
        <f t="shared" si="16"/>
        <v/>
      </c>
      <c r="L64" s="7" t="str">
        <f t="shared" si="17"/>
        <v/>
      </c>
      <c r="M64" s="7" t="str">
        <f t="shared" si="18"/>
        <v/>
      </c>
      <c r="N64" s="7" t="str">
        <f t="shared" si="19"/>
        <v/>
      </c>
      <c r="O64" s="8" t="str">
        <f t="shared" si="20"/>
        <v/>
      </c>
      <c r="P64" s="7" t="str">
        <f t="shared" si="21"/>
        <v/>
      </c>
    </row>
    <row r="65" spans="7:16" x14ac:dyDescent="0.25">
      <c r="G65" s="7" t="str">
        <f t="shared" si="12"/>
        <v/>
      </c>
      <c r="H65" s="7" t="str">
        <f t="shared" si="13"/>
        <v/>
      </c>
      <c r="I65" s="7" t="str">
        <f t="shared" si="14"/>
        <v/>
      </c>
      <c r="J65" s="7" t="str">
        <f t="shared" si="15"/>
        <v/>
      </c>
      <c r="K65" s="7" t="str">
        <f t="shared" si="16"/>
        <v/>
      </c>
      <c r="L65" s="7" t="str">
        <f t="shared" si="17"/>
        <v/>
      </c>
      <c r="M65" s="7" t="str">
        <f t="shared" si="18"/>
        <v/>
      </c>
      <c r="N65" s="7" t="str">
        <f t="shared" si="19"/>
        <v/>
      </c>
      <c r="O65" s="8" t="str">
        <f t="shared" si="20"/>
        <v/>
      </c>
      <c r="P65" s="7" t="str">
        <f t="shared" si="21"/>
        <v/>
      </c>
    </row>
    <row r="66" spans="7:16" x14ac:dyDescent="0.25">
      <c r="G66" s="7" t="str">
        <f t="shared" ref="G66:G73" si="22">IF(F66=1,COUNTIF(C66:E66,"Utilizable"),"")</f>
        <v/>
      </c>
      <c r="H66" s="7" t="str">
        <f t="shared" ref="H66:H73" si="23">IF(F66=1,COUNTIF(C66:E66,"Existe pero no dice eso"),"")</f>
        <v/>
      </c>
      <c r="I66" s="7" t="str">
        <f t="shared" ref="I66:I73" si="24">IF(F66=1,COUNTIF(C66:E66,"No existe"),"")</f>
        <v/>
      </c>
      <c r="J66" s="7" t="str">
        <f t="shared" ref="J66:J73" si="25">IF(F66=1,IF(G66&gt;=2,"Utilizable",IF(H66&gt;=2,"Existe pero no dice eso",IF(I66&gt;=2,"No existe","Sin mayoría"))),"")</f>
        <v/>
      </c>
      <c r="K66" s="7" t="str">
        <f t="shared" ref="K66:K73" si="26">IF(F66=1,IF(MAX(G66,H66,I66)=3,1,0),"")</f>
        <v/>
      </c>
      <c r="L66" s="7" t="str">
        <f t="shared" ref="L66:L73" si="27">IF(F66=1,IF(C66=D66,1,0),"")</f>
        <v/>
      </c>
      <c r="M66" s="7" t="str">
        <f t="shared" ref="M66:M73" si="28">IF(F66=1,IF(C66=E66,1,0),"")</f>
        <v/>
      </c>
      <c r="N66" s="7" t="str">
        <f t="shared" ref="N66:N73" si="29">IF(F66=1,IF(D66=E66,1,0),"")</f>
        <v/>
      </c>
      <c r="O66" s="8" t="str">
        <f t="shared" ref="O66:O73" si="30">IF(F66=1,(G66^2+H66^2+I66^2-3)/6,"")</f>
        <v/>
      </c>
      <c r="P66" s="7" t="str">
        <f t="shared" ref="P66:P73" si="31">IF(F66=1,IF(AND(K66=0,H66&gt;=1),1,0),"")</f>
        <v/>
      </c>
    </row>
    <row r="67" spans="7:16" x14ac:dyDescent="0.25">
      <c r="G67" s="7" t="str">
        <f t="shared" si="22"/>
        <v/>
      </c>
      <c r="H67" s="7" t="str">
        <f t="shared" si="23"/>
        <v/>
      </c>
      <c r="I67" s="7" t="str">
        <f t="shared" si="24"/>
        <v/>
      </c>
      <c r="J67" s="7" t="str">
        <f t="shared" si="25"/>
        <v/>
      </c>
      <c r="K67" s="7" t="str">
        <f t="shared" si="26"/>
        <v/>
      </c>
      <c r="L67" s="7" t="str">
        <f t="shared" si="27"/>
        <v/>
      </c>
      <c r="M67" s="7" t="str">
        <f t="shared" si="28"/>
        <v/>
      </c>
      <c r="N67" s="7" t="str">
        <f t="shared" si="29"/>
        <v/>
      </c>
      <c r="O67" s="8" t="str">
        <f t="shared" si="30"/>
        <v/>
      </c>
      <c r="P67" s="7" t="str">
        <f t="shared" si="31"/>
        <v/>
      </c>
    </row>
    <row r="68" spans="7:16" x14ac:dyDescent="0.25">
      <c r="G68" s="7" t="str">
        <f t="shared" si="22"/>
        <v/>
      </c>
      <c r="H68" s="7" t="str">
        <f t="shared" si="23"/>
        <v/>
      </c>
      <c r="I68" s="7" t="str">
        <f t="shared" si="24"/>
        <v/>
      </c>
      <c r="J68" s="7" t="str">
        <f t="shared" si="25"/>
        <v/>
      </c>
      <c r="K68" s="7" t="str">
        <f t="shared" si="26"/>
        <v/>
      </c>
      <c r="L68" s="7" t="str">
        <f t="shared" si="27"/>
        <v/>
      </c>
      <c r="M68" s="7" t="str">
        <f t="shared" si="28"/>
        <v/>
      </c>
      <c r="N68" s="7" t="str">
        <f t="shared" si="29"/>
        <v/>
      </c>
      <c r="O68" s="8" t="str">
        <f t="shared" si="30"/>
        <v/>
      </c>
      <c r="P68" s="7" t="str">
        <f t="shared" si="31"/>
        <v/>
      </c>
    </row>
    <row r="69" spans="7:16" x14ac:dyDescent="0.25">
      <c r="G69" s="7" t="str">
        <f t="shared" si="22"/>
        <v/>
      </c>
      <c r="H69" s="7" t="str">
        <f t="shared" si="23"/>
        <v/>
      </c>
      <c r="I69" s="7" t="str">
        <f t="shared" si="24"/>
        <v/>
      </c>
      <c r="J69" s="7" t="str">
        <f t="shared" si="25"/>
        <v/>
      </c>
      <c r="K69" s="7" t="str">
        <f t="shared" si="26"/>
        <v/>
      </c>
      <c r="L69" s="7" t="str">
        <f t="shared" si="27"/>
        <v/>
      </c>
      <c r="M69" s="7" t="str">
        <f t="shared" si="28"/>
        <v/>
      </c>
      <c r="N69" s="7" t="str">
        <f t="shared" si="29"/>
        <v/>
      </c>
      <c r="O69" s="8" t="str">
        <f t="shared" si="30"/>
        <v/>
      </c>
      <c r="P69" s="7" t="str">
        <f t="shared" si="31"/>
        <v/>
      </c>
    </row>
    <row r="70" spans="7:16" x14ac:dyDescent="0.25">
      <c r="G70" s="7" t="str">
        <f t="shared" si="22"/>
        <v/>
      </c>
      <c r="H70" s="7" t="str">
        <f t="shared" si="23"/>
        <v/>
      </c>
      <c r="I70" s="7" t="str">
        <f t="shared" si="24"/>
        <v/>
      </c>
      <c r="J70" s="7" t="str">
        <f t="shared" si="25"/>
        <v/>
      </c>
      <c r="K70" s="7" t="str">
        <f t="shared" si="26"/>
        <v/>
      </c>
      <c r="L70" s="7" t="str">
        <f t="shared" si="27"/>
        <v/>
      </c>
      <c r="M70" s="7" t="str">
        <f t="shared" si="28"/>
        <v/>
      </c>
      <c r="N70" s="7" t="str">
        <f t="shared" si="29"/>
        <v/>
      </c>
      <c r="O70" s="8" t="str">
        <f t="shared" si="30"/>
        <v/>
      </c>
      <c r="P70" s="7" t="str">
        <f t="shared" si="31"/>
        <v/>
      </c>
    </row>
    <row r="71" spans="7:16" x14ac:dyDescent="0.25">
      <c r="G71" s="7" t="str">
        <f t="shared" si="22"/>
        <v/>
      </c>
      <c r="H71" s="7" t="str">
        <f t="shared" si="23"/>
        <v/>
      </c>
      <c r="I71" s="7" t="str">
        <f t="shared" si="24"/>
        <v/>
      </c>
      <c r="J71" s="7" t="str">
        <f t="shared" si="25"/>
        <v/>
      </c>
      <c r="K71" s="7" t="str">
        <f t="shared" si="26"/>
        <v/>
      </c>
      <c r="L71" s="7" t="str">
        <f t="shared" si="27"/>
        <v/>
      </c>
      <c r="M71" s="7" t="str">
        <f t="shared" si="28"/>
        <v/>
      </c>
      <c r="N71" s="7" t="str">
        <f t="shared" si="29"/>
        <v/>
      </c>
      <c r="O71" s="8" t="str">
        <f t="shared" si="30"/>
        <v/>
      </c>
      <c r="P71" s="7" t="str">
        <f t="shared" si="31"/>
        <v/>
      </c>
    </row>
    <row r="72" spans="7:16" x14ac:dyDescent="0.25">
      <c r="G72" s="7" t="str">
        <f t="shared" si="22"/>
        <v/>
      </c>
      <c r="H72" s="7" t="str">
        <f t="shared" si="23"/>
        <v/>
      </c>
      <c r="I72" s="7" t="str">
        <f t="shared" si="24"/>
        <v/>
      </c>
      <c r="J72" s="7" t="str">
        <f t="shared" si="25"/>
        <v/>
      </c>
      <c r="K72" s="7" t="str">
        <f t="shared" si="26"/>
        <v/>
      </c>
      <c r="L72" s="7" t="str">
        <f t="shared" si="27"/>
        <v/>
      </c>
      <c r="M72" s="7" t="str">
        <f t="shared" si="28"/>
        <v/>
      </c>
      <c r="N72" s="7" t="str">
        <f t="shared" si="29"/>
        <v/>
      </c>
      <c r="O72" s="8" t="str">
        <f t="shared" si="30"/>
        <v/>
      </c>
      <c r="P72" s="7" t="str">
        <f t="shared" si="31"/>
        <v/>
      </c>
    </row>
    <row r="73" spans="7:16" x14ac:dyDescent="0.25">
      <c r="G73" s="7" t="str">
        <f t="shared" si="22"/>
        <v/>
      </c>
      <c r="H73" s="7" t="str">
        <f t="shared" si="23"/>
        <v/>
      </c>
      <c r="I73" s="7" t="str">
        <f t="shared" si="24"/>
        <v/>
      </c>
      <c r="J73" s="7" t="str">
        <f t="shared" si="25"/>
        <v/>
      </c>
      <c r="K73" s="7" t="str">
        <f t="shared" si="26"/>
        <v/>
      </c>
      <c r="L73" s="7" t="str">
        <f t="shared" si="27"/>
        <v/>
      </c>
      <c r="M73" s="7" t="str">
        <f t="shared" si="28"/>
        <v/>
      </c>
      <c r="N73" s="7" t="str">
        <f t="shared" si="29"/>
        <v/>
      </c>
      <c r="O73" s="8" t="str">
        <f t="shared" si="30"/>
        <v/>
      </c>
      <c r="P73" s="7" t="str">
        <f t="shared" si="31"/>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1"/>
  <sheetViews>
    <sheetView tabSelected="1" topLeftCell="A29" zoomScaleNormal="100" workbookViewId="0">
      <selection activeCell="I47" sqref="I47"/>
    </sheetView>
  </sheetViews>
  <sheetFormatPr baseColWidth="10" defaultColWidth="8.7109375" defaultRowHeight="15" x14ac:dyDescent="0.25"/>
  <cols>
    <col min="1" max="1" width="34" customWidth="1"/>
    <col min="2" max="2" width="14.28515625" customWidth="1"/>
    <col min="3" max="3" width="12" customWidth="1"/>
    <col min="4" max="4" width="14" customWidth="1"/>
    <col min="5" max="6" width="12" customWidth="1"/>
    <col min="7" max="7" width="16" customWidth="1"/>
    <col min="8" max="9" width="14" customWidth="1"/>
  </cols>
  <sheetData>
    <row r="1" spans="1:9" ht="16.5" x14ac:dyDescent="0.25">
      <c r="A1" s="9" t="s">
        <v>428</v>
      </c>
    </row>
    <row r="3" spans="1:9" x14ac:dyDescent="0.25">
      <c r="A3" s="4" t="s">
        <v>429</v>
      </c>
      <c r="B3" s="10">
        <v>1.96</v>
      </c>
    </row>
    <row r="5" spans="1:9" x14ac:dyDescent="0.25">
      <c r="A5" s="11" t="s">
        <v>430</v>
      </c>
    </row>
    <row r="6" spans="1:9" ht="30" x14ac:dyDescent="0.25">
      <c r="A6" s="12" t="s">
        <v>19</v>
      </c>
      <c r="B6" s="12" t="s">
        <v>431</v>
      </c>
      <c r="C6" s="12" t="s">
        <v>240</v>
      </c>
      <c r="D6" s="12" t="s">
        <v>432</v>
      </c>
      <c r="E6" s="12" t="s">
        <v>258</v>
      </c>
      <c r="F6" s="12" t="s">
        <v>433</v>
      </c>
      <c r="G6" s="12" t="s">
        <v>434</v>
      </c>
      <c r="H6" s="12" t="s">
        <v>435</v>
      </c>
      <c r="I6" s="12" t="s">
        <v>436</v>
      </c>
    </row>
    <row r="7" spans="1:9" x14ac:dyDescent="0.25">
      <c r="A7" s="7" t="s">
        <v>437</v>
      </c>
      <c r="B7" s="7">
        <f>COUNTIFS(Consolidado!$B$2:$B$73,"A",Consolidado!$F$2:$F$73,1)</f>
        <v>15</v>
      </c>
      <c r="C7" s="7">
        <f>COUNTIFS(Consolidado!$B$2:$B$73,"A",Consolidado!$J$2:$J$73,"Utilizable")</f>
        <v>9</v>
      </c>
      <c r="D7" s="7">
        <f>COUNTIFS(Consolidado!$B$2:$B$73,"A",Consolidado!$J$2:$J$73,"Existe pero no dice eso")</f>
        <v>3</v>
      </c>
      <c r="E7" s="7">
        <f>COUNTIFS(Consolidado!$B$2:$B$73,"A",Consolidado!$J$2:$J$73,"No existe")</f>
        <v>3</v>
      </c>
      <c r="F7" s="7">
        <f>COUNTIFS(Consolidado!$B$2:$B$73,"A",Consolidado!$J$2:$J$73,"Sin mayoría")</f>
        <v>0</v>
      </c>
      <c r="G7" s="13">
        <f>IF(B7=0,"",C7/B7)</f>
        <v>0.6</v>
      </c>
      <c r="H7" s="13">
        <f>IF(B7=0,"",MAX(0,(G7+$B$3^2/(2*B7))/(1+$B$3^2/B7)-$B$3*SQRT(G7*(1-G7)/B7+$B$3^2/(4*B7^2))/(1+$B$3^2/B7)))</f>
        <v>0.35746442756507701</v>
      </c>
      <c r="I7" s="13">
        <f>IF(B7=0,"",MIN(1,(G7+$B$3^2/(2*B7))/(1+$B$3^2/B7)+$B$3*SQRT(G7*(1-G7)/B7+$B$3^2/(4*B7^2))/(1+$B$3^2/B7)))</f>
        <v>0.80175771917405336</v>
      </c>
    </row>
    <row r="8" spans="1:9" x14ac:dyDescent="0.25">
      <c r="A8" s="7" t="s">
        <v>438</v>
      </c>
      <c r="B8" s="7">
        <f>COUNTIFS(Consolidado!$B$2:$B$73,"B",Consolidado!$F$2:$F$73,1)</f>
        <v>15</v>
      </c>
      <c r="C8" s="7">
        <f>COUNTIFS(Consolidado!$B$2:$B$73,"B",Consolidado!$J$2:$J$73,"Utilizable")</f>
        <v>11</v>
      </c>
      <c r="D8" s="7">
        <f>COUNTIFS(Consolidado!$B$2:$B$73,"B",Consolidado!$J$2:$J$73,"Existe pero no dice eso")</f>
        <v>4</v>
      </c>
      <c r="E8" s="7">
        <f>COUNTIFS(Consolidado!$B$2:$B$73,"B",Consolidado!$J$2:$J$73,"No existe")</f>
        <v>0</v>
      </c>
      <c r="F8" s="7">
        <f>COUNTIFS(Consolidado!$B$2:$B$73,"B",Consolidado!$J$2:$J$73,"Sin mayoría")</f>
        <v>0</v>
      </c>
      <c r="G8" s="13">
        <f>IF(B8=0,"",C8/B8)</f>
        <v>0.73333333333333328</v>
      </c>
      <c r="H8" s="13">
        <f>IF(B8=0,"",MAX(0,(G8+$B$3^2/(2*B8))/(1+$B$3^2/B8)-$B$3*SQRT(G8*(1-G8)/B8+$B$3^2/(4*B8^2))/(1+$B$3^2/B8)))</f>
        <v>0.48049110342313239</v>
      </c>
      <c r="I8" s="13">
        <f>IF(B8=0,"",MIN(1,(G8+$B$3^2/(2*B8))/(1+$B$3^2/B8)+$B$3*SQRT(G8*(1-G8)/B8+$B$3^2/(4*B8^2))/(1+$B$3^2/B8)))</f>
        <v>0.89102723896817182</v>
      </c>
    </row>
    <row r="9" spans="1:9" x14ac:dyDescent="0.25">
      <c r="A9" s="7" t="s">
        <v>439</v>
      </c>
      <c r="B9" s="7">
        <f>COUNTIFS(Consolidado!$B$2:$B$73,"C",Consolidado!$F$2:$F$73,1)</f>
        <v>15</v>
      </c>
      <c r="C9" s="7">
        <f>COUNTIFS(Consolidado!$B$2:$B$73,"C",Consolidado!$J$2:$J$73,"Utilizable")</f>
        <v>14</v>
      </c>
      <c r="D9" s="7">
        <f>COUNTIFS(Consolidado!$B$2:$B$73,"C",Consolidado!$J$2:$J$73,"Existe pero no dice eso")</f>
        <v>0</v>
      </c>
      <c r="E9" s="7">
        <f>COUNTIFS(Consolidado!$B$2:$B$73,"C",Consolidado!$J$2:$J$73,"No existe")</f>
        <v>1</v>
      </c>
      <c r="F9" s="7">
        <f>COUNTIFS(Consolidado!$B$2:$B$73,"C",Consolidado!$J$2:$J$73,"Sin mayoría")</f>
        <v>0</v>
      </c>
      <c r="G9" s="13">
        <f>IF(B9=0,"",C9/B9)</f>
        <v>0.93333333333333335</v>
      </c>
      <c r="H9" s="13">
        <f>IF(B9=0,"",MAX(0,(G9+$B$3^2/(2*B9))/(1+$B$3^2/B9)-$B$3*SQRT(G9*(1-G9)/B9+$B$3^2/(4*B9^2))/(1+$B$3^2/B9)))</f>
        <v>0.70182922447576013</v>
      </c>
      <c r="I9" s="13">
        <f>IF(B9=0,"",MIN(1,(G9+$B$3^2/(2*B9))/(1+$B$3^2/B9)+$B$3*SQRT(G9*(1-G9)/B9+$B$3^2/(4*B9^2))/(1+$B$3^2/B9)))</f>
        <v>0.98813341139380506</v>
      </c>
    </row>
    <row r="10" spans="1:9" x14ac:dyDescent="0.25">
      <c r="A10" s="14" t="s">
        <v>440</v>
      </c>
      <c r="B10" s="14">
        <f>SUM(Consolidado!$F$2:$F$73)</f>
        <v>45</v>
      </c>
      <c r="C10" s="14">
        <f>COUNTIF(Consolidado!$J$2:$J$73,"Utilizable")</f>
        <v>34</v>
      </c>
      <c r="D10" s="14">
        <f>COUNTIF(Consolidado!$J$2:$J$73,"Existe pero no dice eso")</f>
        <v>7</v>
      </c>
      <c r="E10" s="14">
        <f>COUNTIF(Consolidado!$J$2:$J$73,"No existe")</f>
        <v>4</v>
      </c>
      <c r="F10" s="14">
        <f>COUNTIF(Consolidado!$J$2:$J$73,"Sin mayoría")</f>
        <v>0</v>
      </c>
      <c r="G10" s="15">
        <f>IF(B10=0,"",C10/B10)</f>
        <v>0.75555555555555554</v>
      </c>
      <c r="H10" s="15">
        <f>IF(B10=0,"",MAX(0,(G10+$B$3^2/(2*B10))/(1+$B$3^2/B10)-$B$3*SQRT(G10*(1-G10)/B10+$B$3^2/(4*B10^2))/(1+$B$3^2/B10)))</f>
        <v>0.61326339415209863</v>
      </c>
      <c r="I10" s="15">
        <f>IF(B10=0,"",MIN(1,(G10+$B$3^2/(2*B10))/(1+$B$3^2/B10)+$B$3*SQRT(G10*(1-G10)/B10+$B$3^2/(4*B10^2))/(1+$B$3^2/B10)))</f>
        <v>0.85764664974490712</v>
      </c>
    </row>
    <row r="11" spans="1:9" x14ac:dyDescent="0.25">
      <c r="A11" s="16" t="s">
        <v>441</v>
      </c>
    </row>
    <row r="13" spans="1:9" x14ac:dyDescent="0.25">
      <c r="A13" s="11" t="s">
        <v>442</v>
      </c>
    </row>
    <row r="14" spans="1:9" x14ac:dyDescent="0.25">
      <c r="A14" s="17" t="s">
        <v>19</v>
      </c>
      <c r="B14" s="17" t="s">
        <v>24</v>
      </c>
      <c r="C14" s="17" t="s">
        <v>88</v>
      </c>
      <c r="D14" s="17" t="s">
        <v>148</v>
      </c>
    </row>
    <row r="15" spans="1:9" x14ac:dyDescent="0.25">
      <c r="A15" s="18" t="s">
        <v>437</v>
      </c>
      <c r="B15" s="13">
        <f>IF(B7=0,"",COUNTIFS(Consolidado!$B$2:$B$73,"A",Consolidado!$F$2:$F$73,1,Consolidado!$C$2:$C$73,"Utilizable")/B7)</f>
        <v>0.6</v>
      </c>
      <c r="C15" s="13">
        <f>IF(B7=0,"",COUNTIFS(Consolidado!$B$2:$B$73,"A",Consolidado!$F$2:$F$73,1,Consolidado!$D$2:$D$73,"Utilizable")/B7)</f>
        <v>0.73333333333333328</v>
      </c>
      <c r="D15" s="13">
        <f>IF(B7=0,"",COUNTIFS(Consolidado!$B$2:$B$73,"A",Consolidado!$F$2:$F$73,1,Consolidado!$E$2:$E$73,"Utilizable")/B7)</f>
        <v>0.6</v>
      </c>
      <c r="G15" t="e" cm="1">
        <f t="array" ref="G15">(pC-pA)-SQRT((pC-lC)^2+(uA-pA)^2)</f>
        <v>#NAME?</v>
      </c>
    </row>
    <row r="16" spans="1:9" x14ac:dyDescent="0.25">
      <c r="A16" s="18" t="s">
        <v>438</v>
      </c>
      <c r="B16" s="13">
        <f>IF(B8=0,"",COUNTIFS(Consolidado!$B$2:$B$73,"B",Consolidado!$F$2:$F$73,1,Consolidado!$C$2:$C$73,"Utilizable")/B8)</f>
        <v>0.73333333333333328</v>
      </c>
      <c r="C16" s="13">
        <f>IF(B8=0,"",COUNTIFS(Consolidado!$B$2:$B$73,"B",Consolidado!$F$2:$F$73,1,Consolidado!$D$2:$D$73,"Utilizable")/B8)</f>
        <v>0.93333333333333335</v>
      </c>
      <c r="D16" s="13">
        <f>IF(B8=0,"",COUNTIFS(Consolidado!$B$2:$B$73,"B",Consolidado!$F$2:$F$73,1,Consolidado!$E$2:$E$73,"Utilizable")/B8)</f>
        <v>0.73333333333333328</v>
      </c>
    </row>
    <row r="17" spans="1:4" x14ac:dyDescent="0.25">
      <c r="A17" s="18" t="s">
        <v>439</v>
      </c>
      <c r="B17" s="13">
        <f>IF(B9=0,"",COUNTIFS(Consolidado!$B$2:$B$73,"C",Consolidado!$F$2:$F$73,1,Consolidado!$C$2:$C$73,"Utilizable")/B9)</f>
        <v>0.93333333333333335</v>
      </c>
      <c r="C17" s="13">
        <f>IF(B9=0,"",COUNTIFS(Consolidado!$B$2:$B$73,"C",Consolidado!$F$2:$F$73,1,Consolidado!$D$2:$D$73,"Utilizable")/B9)</f>
        <v>0.8</v>
      </c>
      <c r="D17" s="13">
        <f>IF(B9=0,"",COUNTIFS(Consolidado!$B$2:$B$73,"C",Consolidado!$F$2:$F$73,1,Consolidado!$E$2:$E$73,"Utilizable")/B9)</f>
        <v>0.93333333333333335</v>
      </c>
    </row>
    <row r="19" spans="1:4" x14ac:dyDescent="0.25">
      <c r="A19" s="11" t="s">
        <v>443</v>
      </c>
      <c r="B19" s="11" t="s">
        <v>444</v>
      </c>
      <c r="C19" s="11" t="s">
        <v>445</v>
      </c>
    </row>
    <row r="20" spans="1:4" x14ac:dyDescent="0.25">
      <c r="A20" s="7" t="s">
        <v>446</v>
      </c>
      <c r="B20" s="7">
        <f>SUM(Consolidado!$F$2:$F$73)</f>
        <v>45</v>
      </c>
      <c r="C20" s="18"/>
    </row>
    <row r="21" spans="1:4" x14ac:dyDescent="0.25">
      <c r="A21" s="7" t="s">
        <v>447</v>
      </c>
      <c r="B21" s="7">
        <f>SUM(Consolidado!$K$2:$K$73)</f>
        <v>38</v>
      </c>
      <c r="C21" s="19">
        <f>IF($B$20=0,"",B21/$B$20)</f>
        <v>0.84444444444444444</v>
      </c>
    </row>
    <row r="22" spans="1:4" x14ac:dyDescent="0.25">
      <c r="A22" s="7" t="s">
        <v>448</v>
      </c>
      <c r="B22" s="7">
        <f>B20-B21</f>
        <v>7</v>
      </c>
      <c r="C22" s="19">
        <f>IF($B$20=0,"",B22/$B$20)</f>
        <v>0.15555555555555556</v>
      </c>
    </row>
    <row r="23" spans="1:4" x14ac:dyDescent="0.25">
      <c r="A23" s="7" t="s">
        <v>449</v>
      </c>
      <c r="B23" s="7">
        <f>COUNTIF(Consolidado!$J$2:$J$73,"Sin mayoría")</f>
        <v>0</v>
      </c>
      <c r="C23" s="19">
        <f>IF($B$20=0,"",B23/$B$20)</f>
        <v>0</v>
      </c>
    </row>
    <row r="24" spans="1:4" x14ac:dyDescent="0.25">
      <c r="A24" s="7" t="s">
        <v>450</v>
      </c>
      <c r="B24" s="7">
        <f>SUM(Consolidado!$P$2:$P$73)</f>
        <v>5</v>
      </c>
      <c r="C24" s="19">
        <f>IF(B22=0,"",B24/B22)</f>
        <v>0.7142857142857143</v>
      </c>
      <c r="D24" s="16" t="s">
        <v>451</v>
      </c>
    </row>
    <row r="25" spans="1:4" x14ac:dyDescent="0.25">
      <c r="A25" s="7" t="s">
        <v>452</v>
      </c>
      <c r="B25" s="7">
        <f>SUM(Consolidado!$L$2:$L$73)</f>
        <v>38</v>
      </c>
      <c r="C25" s="19">
        <f>IF($B$20=0,"",B25/$B$20)</f>
        <v>0.84444444444444444</v>
      </c>
    </row>
    <row r="26" spans="1:4" x14ac:dyDescent="0.25">
      <c r="A26" s="7" t="s">
        <v>453</v>
      </c>
      <c r="B26" s="7">
        <f>SUM(Consolidado!$M$2:$M$73)</f>
        <v>45</v>
      </c>
      <c r="C26" s="19">
        <f>IF($B$20=0,"",B26/$B$20)</f>
        <v>1</v>
      </c>
    </row>
    <row r="27" spans="1:4" x14ac:dyDescent="0.25">
      <c r="A27" s="7" t="s">
        <v>454</v>
      </c>
      <c r="B27" s="7">
        <f>SUM(Consolidado!$N$2:$N$73)</f>
        <v>38</v>
      </c>
      <c r="C27" s="19">
        <f>IF($B$20=0,"",B27/$B$20)</f>
        <v>0.84444444444444444</v>
      </c>
    </row>
    <row r="29" spans="1:4" x14ac:dyDescent="0.25">
      <c r="A29" s="11" t="s">
        <v>455</v>
      </c>
    </row>
    <row r="30" spans="1:4" x14ac:dyDescent="0.25">
      <c r="A30" s="7" t="s">
        <v>456</v>
      </c>
      <c r="B30" s="8">
        <f>IF($B$20=0,"",SUM(Consolidado!$O$2:$O$73)/$B$20)</f>
        <v>0.89629629629629648</v>
      </c>
    </row>
    <row r="31" spans="1:4" x14ac:dyDescent="0.25">
      <c r="A31" s="7" t="s">
        <v>457</v>
      </c>
      <c r="B31" s="8">
        <f>IF($B$20=0,"",SUM(Consolidado!$G$2:$G$73)/(3*$B$20))</f>
        <v>0.77777777777777779</v>
      </c>
    </row>
    <row r="32" spans="1:4" x14ac:dyDescent="0.25">
      <c r="A32" s="7" t="s">
        <v>458</v>
      </c>
      <c r="B32" s="8">
        <f>IF($B$20=0,"",SUM(Consolidado!$H$2:$H$73)/(3*$B$20))</f>
        <v>0.11851851851851852</v>
      </c>
    </row>
    <row r="33" spans="1:6" x14ac:dyDescent="0.25">
      <c r="A33" s="7" t="s">
        <v>459</v>
      </c>
      <c r="B33" s="8">
        <f>IF($B$20=0,"",SUM(Consolidado!$I$2:$I$73)/(3*$B$20))</f>
        <v>0.1037037037037037</v>
      </c>
    </row>
    <row r="34" spans="1:6" x14ac:dyDescent="0.25">
      <c r="A34" s="7" t="s">
        <v>460</v>
      </c>
      <c r="B34" s="8">
        <f>IF($B$20=0,"",B31^2+B32^2+B33^2)</f>
        <v>0.62973936899862826</v>
      </c>
    </row>
    <row r="35" spans="1:6" x14ac:dyDescent="0.25">
      <c r="A35" s="14" t="s">
        <v>455</v>
      </c>
      <c r="B35" s="20">
        <f>IF($B$20=0,"",IF(B34=1,"",(B30-B34)/(1-B34)))</f>
        <v>0.71991701244813333</v>
      </c>
    </row>
    <row r="36" spans="1:6" x14ac:dyDescent="0.25">
      <c r="A36" s="16" t="s">
        <v>461</v>
      </c>
    </row>
    <row r="38" spans="1:6" x14ac:dyDescent="0.25">
      <c r="A38" s="11" t="s">
        <v>462</v>
      </c>
    </row>
    <row r="39" spans="1:6" x14ac:dyDescent="0.25">
      <c r="A39" s="17" t="s">
        <v>19</v>
      </c>
      <c r="B39" s="17" t="s">
        <v>448</v>
      </c>
      <c r="C39" s="17" t="s">
        <v>463</v>
      </c>
    </row>
    <row r="40" spans="1:6" x14ac:dyDescent="0.25">
      <c r="A40" s="7" t="s">
        <v>437</v>
      </c>
      <c r="B40" s="7">
        <f>B7-COUNTIFS(Consolidado!$B$2:$B$73,"A",Consolidado!$K$2:$K$73,1)</f>
        <v>2</v>
      </c>
      <c r="C40" s="13">
        <f>IF(B7=0,"",B40/B7)</f>
        <v>0.13333333333333333</v>
      </c>
    </row>
    <row r="41" spans="1:6" x14ac:dyDescent="0.25">
      <c r="A41" s="7" t="s">
        <v>438</v>
      </c>
      <c r="B41" s="7">
        <f>B8-COUNTIFS(Consolidado!$B$2:$B$73,"B",Consolidado!$K$2:$K$73,1)</f>
        <v>3</v>
      </c>
      <c r="C41" s="13">
        <f>IF(B8=0,"",B41/B8)</f>
        <v>0.2</v>
      </c>
    </row>
    <row r="42" spans="1:6" x14ac:dyDescent="0.25">
      <c r="A42" s="7" t="s">
        <v>439</v>
      </c>
      <c r="B42" s="7">
        <f>B9-COUNTIFS(Consolidado!$B$2:$B$73,"C",Consolidado!$K$2:$K$73,1)</f>
        <v>2</v>
      </c>
      <c r="C42" s="13">
        <f>IF(B9=0,"",B42/B9)</f>
        <v>0.13333333333333333</v>
      </c>
    </row>
    <row r="44" spans="1:6" x14ac:dyDescent="0.25">
      <c r="A44" s="35" t="s">
        <v>464</v>
      </c>
      <c r="B44" s="29"/>
      <c r="C44" s="30"/>
      <c r="D44" s="36" t="s">
        <v>465</v>
      </c>
      <c r="E44" s="36"/>
      <c r="F44" s="36"/>
    </row>
    <row r="45" spans="1:6" x14ac:dyDescent="0.25">
      <c r="A45" s="31" t="s">
        <v>466</v>
      </c>
      <c r="B45" s="32">
        <f>G9-G7</f>
        <v>0.33333333333333337</v>
      </c>
      <c r="C45" s="30"/>
      <c r="D45" s="36" t="s">
        <v>467</v>
      </c>
      <c r="E45" s="36" t="s">
        <v>468</v>
      </c>
      <c r="F45" s="36" t="s">
        <v>469</v>
      </c>
    </row>
    <row r="46" spans="1:6" x14ac:dyDescent="0.25">
      <c r="A46" s="31" t="s">
        <v>470</v>
      </c>
      <c r="B46" s="32">
        <f>(G9-G7)-SQRT((G9-H9)^2+(I7-G7)^2)</f>
        <v>2.6249745910860878E-2</v>
      </c>
      <c r="C46" s="30"/>
      <c r="D46" s="34">
        <f>MAX(0,$B$9+$C$7+$C$9-($B$7+$B$9))+0</f>
        <v>8</v>
      </c>
      <c r="E46" s="34">
        <f t="shared" ref="E46:E61" si="0">IF(OR(D46&gt;MIN($B$9,$C$7+$C$9),$B$9-D46&lt;0),0,COMBIN($C$7+$C$9,D46)*COMBIN($B$7+$B$9-$C$7-$C$9,$B$9-D46)/COMBIN($B$7+$B$9,$B$9))</f>
        <v>3.160919540229885E-3</v>
      </c>
      <c r="F46" s="34">
        <f>IF(E46=0,0,IF(E46&lt;=COMBIN($C$7+$C$9,$C$9)*COMBIN($B$7+$B$9-$C$7-$C$9,$B$9-$C$9)/COMBIN($B$7+$B$9,$B$9)+0.000000000001,1,0))</f>
        <v>1</v>
      </c>
    </row>
    <row r="47" spans="1:6" x14ac:dyDescent="0.25">
      <c r="A47" s="31" t="s">
        <v>471</v>
      </c>
      <c r="B47" s="32">
        <f>(G9-G7)+SQRT((I9-G9)^2+(G7-H7)^2)</f>
        <v>0.58198279030392386</v>
      </c>
      <c r="C47" s="30"/>
      <c r="D47" s="34">
        <f>MAX(0,$B$9+$C$7+$C$9-($B$7+$B$9))+1</f>
        <v>9</v>
      </c>
      <c r="E47" s="34">
        <f t="shared" si="0"/>
        <v>3.6877394636015325E-2</v>
      </c>
      <c r="F47" s="34">
        <f>IF(E47=0,0,IF(E47&lt;=COMBIN($C$7+$C$9,$C$9)*COMBIN($B$7+$B$9-$C$7-$C$9,$B$9-$C$9)/COMBIN($B$7+$B$9,$B$9)+0.000000000001,1,0))</f>
        <v>1</v>
      </c>
    </row>
    <row r="48" spans="1:6" x14ac:dyDescent="0.25">
      <c r="A48" s="31" t="s">
        <v>472</v>
      </c>
      <c r="B48" s="31">
        <f>SUMIF($F$46:$F$61,1,$E$46:$E$61)</f>
        <v>8.0076628352490423E-2</v>
      </c>
      <c r="C48" s="30"/>
      <c r="D48" s="34">
        <f>MAX(0,$B$9+$C$7+$C$9-($B$7+$B$9))+2</f>
        <v>10</v>
      </c>
      <c r="E48" s="34">
        <f t="shared" si="0"/>
        <v>0.15488505747126438</v>
      </c>
      <c r="F48" s="34">
        <f>IF(E48=0,0,IF(E48&lt;=COMBIN($C$7+$C$9,$C$9)*COMBIN($B$7+$B$9-$C$7-$C$9,$B$9-$C$9)/COMBIN($B$7+$B$9,$B$9)+0.000000000001,1,0))</f>
        <v>0</v>
      </c>
    </row>
    <row r="49" spans="1:6" x14ac:dyDescent="0.25">
      <c r="A49" s="33"/>
      <c r="B49" s="33"/>
      <c r="C49" s="33"/>
      <c r="D49" s="34">
        <f>MAX(0,$B$9+$C$7+$C$9-($B$7+$B$9))+3</f>
        <v>11</v>
      </c>
      <c r="E49" s="34">
        <f t="shared" si="0"/>
        <v>0.30507662835249044</v>
      </c>
      <c r="F49" s="34">
        <f>IF(E49=0,0,IF(E49&lt;=COMBIN($C$7+$C$9,$C$9)*COMBIN($B$7+$B$9-$C$7-$C$9,$B$9-$C$9)/COMBIN($B$7+$B$9,$B$9)+0.000000000001,1,0))</f>
        <v>0</v>
      </c>
    </row>
    <row r="50" spans="1:6" x14ac:dyDescent="0.25">
      <c r="D50" s="34">
        <f>MAX(0,$B$9+$C$7+$C$9-($B$7+$B$9))+4</f>
        <v>12</v>
      </c>
      <c r="E50" s="34">
        <f t="shared" si="0"/>
        <v>0.30507662835249044</v>
      </c>
      <c r="F50" s="34">
        <f>IF(E50=0,0,IF(E50&lt;=COMBIN($C$7+$C$9,$C$9)*COMBIN($B$7+$B$9-$C$7-$C$9,$B$9-$C$9)/COMBIN($B$7+$B$9,$B$9)+0.000000000001,1,0))</f>
        <v>0</v>
      </c>
    </row>
    <row r="51" spans="1:6" x14ac:dyDescent="0.25">
      <c r="D51" s="34">
        <f>MAX(0,$B$9+$C$7+$C$9-($B$7+$B$9))+5</f>
        <v>13</v>
      </c>
      <c r="E51" s="34">
        <f t="shared" si="0"/>
        <v>0.15488505747126438</v>
      </c>
      <c r="F51" s="34">
        <v>0</v>
      </c>
    </row>
    <row r="52" spans="1:6" x14ac:dyDescent="0.25">
      <c r="D52" s="34">
        <f>MAX(0,$B$9+$C$7+$C$9-($B$7+$B$9))+6</f>
        <v>14</v>
      </c>
      <c r="E52" s="34">
        <f t="shared" si="0"/>
        <v>3.6877394636015325E-2</v>
      </c>
      <c r="F52" s="34">
        <v>1</v>
      </c>
    </row>
    <row r="53" spans="1:6" x14ac:dyDescent="0.25">
      <c r="D53" s="34">
        <f>MAX(0,$B$9+$C$7+$C$9-($B$7+$B$9))+7</f>
        <v>15</v>
      </c>
      <c r="E53" s="34">
        <f t="shared" si="0"/>
        <v>3.160919540229885E-3</v>
      </c>
      <c r="F53" s="34">
        <v>1</v>
      </c>
    </row>
    <row r="54" spans="1:6" x14ac:dyDescent="0.25">
      <c r="D54" s="34">
        <f>MAX(0,$B$9+$C$7+$C$9-($B$7+$B$9))+8</f>
        <v>16</v>
      </c>
      <c r="E54" s="34">
        <f t="shared" si="0"/>
        <v>0</v>
      </c>
      <c r="F54" s="34">
        <v>0</v>
      </c>
    </row>
    <row r="55" spans="1:6" x14ac:dyDescent="0.25">
      <c r="D55" s="34">
        <f>MAX(0,$B$9+$C$7+$C$9-($B$7+$B$9))+9</f>
        <v>17</v>
      </c>
      <c r="E55" s="34">
        <f t="shared" si="0"/>
        <v>0</v>
      </c>
      <c r="F55" s="34">
        <v>0</v>
      </c>
    </row>
    <row r="56" spans="1:6" x14ac:dyDescent="0.25">
      <c r="D56" s="34">
        <f>MAX(0,$B$9+$C$7+$C$9-($B$7+$B$9))+10</f>
        <v>18</v>
      </c>
      <c r="E56" s="34">
        <f t="shared" si="0"/>
        <v>0</v>
      </c>
      <c r="F56" s="34">
        <v>0</v>
      </c>
    </row>
    <row r="57" spans="1:6" x14ac:dyDescent="0.25">
      <c r="D57" s="34">
        <f>MAX(0,$B$9+$C$7+$C$9-($B$7+$B$9))+11</f>
        <v>19</v>
      </c>
      <c r="E57" s="34">
        <f t="shared" si="0"/>
        <v>0</v>
      </c>
      <c r="F57" s="34">
        <v>0</v>
      </c>
    </row>
    <row r="58" spans="1:6" x14ac:dyDescent="0.25">
      <c r="D58" s="34">
        <f>MAX(0,$B$9+$C$7+$C$9-($B$7+$B$9))+12</f>
        <v>20</v>
      </c>
      <c r="E58" s="34">
        <f t="shared" si="0"/>
        <v>0</v>
      </c>
      <c r="F58" s="34">
        <v>0</v>
      </c>
    </row>
    <row r="59" spans="1:6" x14ac:dyDescent="0.25">
      <c r="D59" s="34">
        <f>MAX(0,$B$9+$C$7+$C$9-($B$7+$B$9))+13</f>
        <v>21</v>
      </c>
      <c r="E59" s="34">
        <f t="shared" si="0"/>
        <v>0</v>
      </c>
      <c r="F59" s="34">
        <v>0</v>
      </c>
    </row>
    <row r="60" spans="1:6" x14ac:dyDescent="0.25">
      <c r="D60" s="34">
        <f>MAX(0,$B$9+$C$7+$C$9-($B$7+$B$9))+14</f>
        <v>22</v>
      </c>
      <c r="E60" s="34">
        <f t="shared" si="0"/>
        <v>0</v>
      </c>
      <c r="F60" s="34">
        <v>0</v>
      </c>
    </row>
    <row r="61" spans="1:6" x14ac:dyDescent="0.25">
      <c r="D61" s="34">
        <f>MAX(0,$B$9+$C$7+$C$9-($B$7+$B$9))+15</f>
        <v>23</v>
      </c>
      <c r="E61" s="34">
        <f t="shared" si="0"/>
        <v>0</v>
      </c>
      <c r="F61" s="34">
        <v>0</v>
      </c>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Leeme</vt:lpstr>
      <vt:lpstr>Referencias</vt:lpstr>
      <vt:lpstr>Clasif_Isabella</vt:lpstr>
      <vt:lpstr>Clasif_Eduar</vt:lpstr>
      <vt:lpstr>Clasif_Anderson</vt:lpstr>
      <vt:lpstr>Consolidado</vt:lpstr>
      <vt:lpstr>Resultados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valeria renteria diaz</cp:lastModifiedBy>
  <cp:revision>0</cp:revision>
  <dcterms:created xsi:type="dcterms:W3CDTF">2026-09-20T02:22:13Z</dcterms:created>
  <dcterms:modified xsi:type="dcterms:W3CDTF">2026-10-05T06:19:08Z</dcterms:modified>
  <cp:category/>
  <cp:contentStatus/>
</cp:coreProperties>
</file>