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ymary\Downloads\"/>
    </mc:Choice>
  </mc:AlternateContent>
  <xr:revisionPtr revIDLastSave="0" documentId="8_{08C69D06-2F5C-49CE-9E28-8E8AA8B94BC4}" xr6:coauthVersionLast="47" xr6:coauthVersionMax="47" xr10:uidLastSave="{00000000-0000-0000-0000-000000000000}"/>
  <bookViews>
    <workbookView xWindow="-120" yWindow="-120" windowWidth="29040" windowHeight="15720" tabRatio="500" xr2:uid="{00000000-000D-0000-FFFF-FFFF00000000}"/>
  </bookViews>
  <sheets>
    <sheet name="Banco" sheetId="2" r:id="rId1"/>
    <sheet name="Corrida" sheetId="3" r:id="rId2"/>
    <sheet name="Resultados" sheetId="4" r:id="rId3"/>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7" i="3" l="1"/>
  <c r="C16" i="3"/>
  <c r="C7" i="4"/>
  <c r="B7" i="4"/>
  <c r="C6" i="4"/>
  <c r="B6" i="4"/>
  <c r="B5" i="4"/>
  <c r="B4" i="4"/>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5" i="3"/>
  <c r="C14" i="3"/>
  <c r="C13" i="3"/>
  <c r="C12" i="3"/>
  <c r="C11" i="3"/>
  <c r="C10" i="3"/>
  <c r="C9" i="3"/>
  <c r="C8" i="3"/>
  <c r="C6" i="3"/>
  <c r="C5" i="3"/>
  <c r="C4" i="3"/>
  <c r="C3" i="3"/>
  <c r="C2" i="3"/>
  <c r="D7" i="4" l="1"/>
  <c r="D6" i="4"/>
  <c r="B9" i="4"/>
  <c r="C5" i="4" l="1"/>
  <c r="D5" i="4" s="1"/>
  <c r="C4" i="4"/>
  <c r="C9" i="4" l="1"/>
  <c r="D4" i="4"/>
</calcChain>
</file>

<file path=xl/sharedStrings.xml><?xml version="1.0" encoding="utf-8"?>
<sst xmlns="http://schemas.openxmlformats.org/spreadsheetml/2006/main" count="465" uniqueCount="208">
  <si>
    <t>ID</t>
  </si>
  <si>
    <t>Pregunta</t>
  </si>
  <si>
    <t>Respuesta conocida</t>
  </si>
  <si>
    <t>Documento</t>
  </si>
  <si>
    <t>Ubicación</t>
  </si>
  <si>
    <t>¿En el corpus?</t>
  </si>
  <si>
    <t>Q01</t>
  </si>
  <si>
    <t>¿Qué eficiencia promedio en cobertura reporta Galvis-Aponte para los municipios colombianos?</t>
  </si>
  <si>
    <t>63,43</t>
  </si>
  <si>
    <t>galvis-aponte-2015</t>
  </si>
  <si>
    <t>p. 89, Cuadro 2</t>
  </si>
  <si>
    <t>Sí</t>
  </si>
  <si>
    <t>Q02</t>
  </si>
  <si>
    <t>¿Qué eficiencia promedio en calidad reporta Galvis-Aponte?</t>
  </si>
  <si>
    <t>48,81</t>
  </si>
  <si>
    <t>Q03</t>
  </si>
  <si>
    <t>¿Qué orientación del modelo DEA usa Galvis-Aponte y cuáles son sus insumos?</t>
  </si>
  <si>
    <t>Orientación a insumos; docentes oficiales, inversión en educación, metros cuadrados de aula y docentes escalafonados</t>
  </si>
  <si>
    <t>p. 88 y Anexo 1, p. 98</t>
  </si>
  <si>
    <t>Q04</t>
  </si>
  <si>
    <t>¿Cuántas universidades públicas evalúan Maza Ávila et al. y en qué periodo?</t>
  </si>
  <si>
    <t>32 universidades del SUE, 2003-2012</t>
  </si>
  <si>
    <t>maza-avila-2017</t>
  </si>
  <si>
    <t>p. 21</t>
  </si>
  <si>
    <t>Q05</t>
  </si>
  <si>
    <t>¿Cuáles son los insumos del modelo de Maza Ávila et al.?</t>
  </si>
  <si>
    <t>Profesores en tiempos completos equivalentes, gasto en personal administrativo, recursos físicos y recursos financieros</t>
  </si>
  <si>
    <t>Q06</t>
  </si>
  <si>
    <t>¿Cuánto creció la productividad de las universidades públicas colombianas según Maza Ávila et al.?</t>
  </si>
  <si>
    <t>Alrededor de 9 % en el periodo, con 7 % de cambio tecnológico y 4 % de eficiencia</t>
  </si>
  <si>
    <t>p. 23, Tabla 5</t>
  </si>
  <si>
    <t>Q07</t>
  </si>
  <si>
    <t>¿En qué se descompone el índice de Malmquist según Vázquez Rojas y Pérez-Esparrells?</t>
  </si>
  <si>
    <t>En cambio de eficiencia técnica (catching up) y cambio técnico (shift frontier)</t>
  </si>
  <si>
    <t>vazquez-perez-esparrells-2016</t>
  </si>
  <si>
    <t>p. 200</t>
  </si>
  <si>
    <t>Q08</t>
  </si>
  <si>
    <t>¿Qué técnica usa Melo-Becerra et al. para estimar la eficiencia?</t>
  </si>
  <si>
    <t>Técnicas de frontera estocástica, no DEA</t>
  </si>
  <si>
    <t>melo-becerra-2017</t>
  </si>
  <si>
    <t>p. 59</t>
  </si>
  <si>
    <t>Q09</t>
  </si>
  <si>
    <t>¿Qué dice Melo-Becerra et al. sobre los estudios de eficiencia en educación superior en Colombia?</t>
  </si>
  <si>
    <t>Que para educación superior no se identificaron investigaciones que evalúen la eficiencia de las universidades e instituciones técnicas o tecnológicas</t>
  </si>
  <si>
    <t>p. 62</t>
  </si>
  <si>
    <t>Q10</t>
  </si>
  <si>
    <t>¿De qué año son los datos del estudio de Visbal-Cadavid et al. (2017)?</t>
  </si>
  <si>
    <t>2012, con datos del Ministerio de Educación Nacional</t>
  </si>
  <si>
    <t>visbal-cadavid-2017</t>
  </si>
  <si>
    <t>p. 8 (también en el resumen, p. 1)</t>
  </si>
  <si>
    <t>Q11</t>
  </si>
  <si>
    <t>¿Qué modelos DEA y qué orientación aplica Visbal-Cadavid et al.?</t>
  </si>
  <si>
    <t>CCR, BCC y SBM con orientación al producto</t>
  </si>
  <si>
    <t>p. 8</t>
  </si>
  <si>
    <t>Q12</t>
  </si>
  <si>
    <t>¿Entre qué años aplica Visbal-Cadavid et al. el índice de Malmquist?</t>
  </si>
  <si>
    <t>Entre 2011 y 2012</t>
  </si>
  <si>
    <t>p. 1, resumen</t>
  </si>
  <si>
    <t>Q13</t>
  </si>
  <si>
    <t>¿Qué ediciones del ENADE usan Marques et al.?</t>
  </si>
  <si>
    <t>2012 y 2015</t>
  </si>
  <si>
    <t>marques-2020</t>
  </si>
  <si>
    <t>p. 157, resumen</t>
  </si>
  <si>
    <t>Q14</t>
  </si>
  <si>
    <t>¿En qué dos componentes descompone la eficiencia Marques et al.?</t>
  </si>
  <si>
    <t>En un componente del desempeño del alumno y otro de la institución</t>
  </si>
  <si>
    <t>Q15</t>
  </si>
  <si>
    <t>¿Cuántas universidades mexicanas evalúa Navarro Chávez et al. y qué pasa con la eficiencia al aplicar bootstrap?</t>
  </si>
  <si>
    <t>32 universidades públicas en 2012; la eficiencia baja de 0,87 a 0,77 con VRS y de 0,80 a 0,71 con CRS</t>
  </si>
  <si>
    <t>navarro-chavez-2016</t>
  </si>
  <si>
    <t>p. 65</t>
  </si>
  <si>
    <t>Q16</t>
  </si>
  <si>
    <t>¿Cuántas instituciones y países cubre el estudio de Parteka y Wolszczak-Derlacz?</t>
  </si>
  <si>
    <t>266 instituciones públicas de 7 países europeos, 2001-2005</t>
  </si>
  <si>
    <t>parteka-2013</t>
  </si>
  <si>
    <t>p. 67</t>
  </si>
  <si>
    <t>Q17</t>
  </si>
  <si>
    <t>¿Cómo define Charnes, Cooper y Rhodes el modelo que proponen?</t>
  </si>
  <si>
    <t>Un modelo de programación no lineal (no convexa) que da una nueva definición de eficiencia para entidades sin fines de lucro, con equivalencias a programación lineal ordinaria</t>
  </si>
  <si>
    <t>charnes-1978</t>
  </si>
  <si>
    <t>p. 429</t>
  </si>
  <si>
    <t>Q18</t>
  </si>
  <si>
    <t>¿Qué encontró el estudio de metafrontera sobre la diferencia de eficiencia entre universidades públicas y privadas colombianas?</t>
  </si>
  <si>
    <t>Que no fue posible comprobar diferencias significativas entre la gestión pública y la privada, sobre 122 universidades analizadas</t>
  </si>
  <si>
    <t>morales-pinero-2022</t>
  </si>
  <si>
    <t>Resumen, p. 1</t>
  </si>
  <si>
    <t>Q19</t>
  </si>
  <si>
    <t>¿Qué valores del índice de Morán reporta el estudio sobre los resultados de Saber 11 por departamento?</t>
  </si>
  <si>
    <t>0,3577 en 2019 y 0,3863 en 2023, ambos positivos y significativos</t>
  </si>
  <si>
    <t>rincon-romero-2025</t>
  </si>
  <si>
    <t>Resultados, Tabla 3</t>
  </si>
  <si>
    <t>Q20</t>
  </si>
  <si>
    <t>¿Cuál fue el presupuesto de la Universidad Nacional de Colombia en 2024?</t>
  </si>
  <si>
    <t>No está en las fuentes</t>
  </si>
  <si>
    <t>—</t>
  </si>
  <si>
    <t>No</t>
  </si>
  <si>
    <t>Q21</t>
  </si>
  <si>
    <t>¿Cuántas universidades públicas aparecen desagregadas en el informe del PTE de 2024?</t>
  </si>
  <si>
    <t>Q22</t>
  </si>
  <si>
    <t>¿Cuál fue el puntaje promedio de Saber Pro por institución en 2024?</t>
  </si>
  <si>
    <t>Tratamiento</t>
  </si>
  <si>
    <t>Respuesta obtenida</t>
  </si>
  <si>
    <t>¿Correcta?</t>
  </si>
  <si>
    <t>¿Cita al lugar correcto?</t>
  </si>
  <si>
    <t>¿Abstención correcta?</t>
  </si>
  <si>
    <t>Nota</t>
  </si>
  <si>
    <t>Sistema (NotebookLM)</t>
  </si>
  <si>
    <t>En el estudio de **Galvis-Aponte (2015)** (*La eficiencia del gasto público en educación en Colombia*), la **eficiencia promedio en cobertura educativa** para los municipios colombianos llega al **63,43%**[1][2] (reportada como **62,3%** en el resumen del documento[3]).
Los datos específicos detallados en el estudio para la muestra de **1.019 municipios** evaluados en 2012 corresponden a:
* **Eficiencia promedio en cobertura:** **63,43%**[1][2]. Esto significa que, en promedio, un municipio podría alcanzar el mismo resultado en cobertura utilizando tan solo el 63% de sus recursos si se comparara con las entidades territoriales en la frontera de eficiencia[1].
* **Desviación estándar:** **12,84**[2].
* **Mínimo:** **28,87%**[2].
* **Máximo:** **100%**[2].
* **Municipios en la frontera:** **43 municipios** (**4,22%** del total de la muestra) alcanzaron el nivel de eficiencia relativa[2].
En contraste, el autor señala que la eficiencia promedio respecto a la **calidad educativa** se sitúa en **48,81%**</t>
  </si>
  <si>
    <t>No aplica</t>
  </si>
  <si>
    <t>Da 63,43 y advierte que el resumen dice 62,3. Las cifras del Cuadro 2 (desviación, mínimo, máximo) y los 43 municipios en la frontera coinciden con el artículo</t>
  </si>
  <si>
    <t>En el estudio de **Galvis-Aponte (2015)** (*La eficiencia del gasto público en educación en Colombia*), la **eficiencia promedio en calidad educativa** reportada para los municipios colombianos llega al **48,81%** (mencionada como **48,8%** en el resumen y aproximadamente **48%** en el cuerpo del texto)[1].
De acuerdo con las estadísticas detalladas en el documento[3]:
* **Eficiencia promedio en calidad:** **48,81%**[3].
* **Desviación estándar:** **11,47**[3].
* **Valor mínimo:** **33,68%**[3].
* **Valor máximo:** **100%**[3].
* **Municipios en la frontera de eficiencia:** **12 municipios** (**1,14%** del total de la muestra de 1.047 municipios evaluados)[3].
En contraste con los resultados obtenidos en cobertura educativa (donde la eficiencia promedio alcanzó el 63,43%), el autor enfatiza que las entidades territoriales presentan un desempeño significativamente más bajo e ineficiente en términos de calidad</t>
  </si>
  <si>
    <t>48,81. Reporta 12 municipios en la frontera, que es la cifra del Cuadro 3; el texto del artículo dice 16</t>
  </si>
  <si>
    <t>En el estudio de **Galvis-Aponte (2015)** (*La eficiencia del gasto público en educación en Colombia*), el modelo de Análisis Envolvente de Datos (DEA) utiliza la siguiente especificación:
1. **Orientación hacia los insumos (** **input-oriented** **):** Se evalúa la eficiencia desde la óptica de la reducción de insumos[1][2]. Esto implica medir el gasto mínimo necesario para lograr un determinado resultado o determinar qué porcentaje de recursos financieros y docentes se podría reducir sin desmejorar el nivel de producción (cobertura o calidad educativa) alcanzado por el municipio[1].
2. **Rendimientos variables a escala (VRS):** El autor asume rendimientos variables debido a la alta heterogeneidad entre las entidades territoriales y municipios de la muestra, considerando que el tamaño de la unidad de decisión incide directamente en su capacidad de proveer servicios educativos de forma eficiente[2].</t>
  </si>
  <si>
    <t>Cambio tu Sí por No. Responde bien la orientación a insumos y los rendimientos variables, pero no enumera los cuatro insumos que pide la pregunta (docentes oficiales, inversión en educación, metros cuadrados de aula, docentes escalafonados)</t>
  </si>
  <si>
    <t>En el estudio de **Maza Ávila et al. (2017)** (*maza-avila-2017.pdf*), los autores evalúan **32 universidades públicas** (instituciones oficiales de educación superior pertenecientes al Sistema Universitario Estatal - SUE) en Colombia[1][2].
El período de análisis evaluado abarca desde **2003 hasta 2012**[1][2].
### Detalles del análisis:
* **Objeto de estudio:** Mide la eficiencia y los cambios en la productividad centrados en la **cobertura educativa** (matrícula total de pregrado y posgrado)[1][3].
* **Metodología:** Aplican el Análisis Envolvente de Datos (DEA) y el Índice de Productividad de Malmquist[1][4].</t>
  </si>
  <si>
    <t>32 universidades del SUE, 2003–2012</t>
  </si>
  <si>
    <t>En el estudio de Maza Ávila et al. (2017) (maza-avila-2017.pdf), el modelo DEA para evaluar la eficiencia en la cobertura educativa de las universidades públicas utiliza 4 insumos (inputs)12:Profesores en tiempos completos equivalentes: cuantifica el total de docentes vinculados a la institución (tanto catedráticos como de planta), valorados y ajustados respecto a profesores de planta equivalentes2.Gasto en personal administrativo: comprende los gastos financieros en que incurre la institución para el personal encargado de realizar las actividades administrativas2.Recursos físicos: mide la infraestructura de la institución mediante la superficie total disponible en metros cuadrados ($m^2$) para el desarrollo de sus actividades misionales y administrativas2.Recursos financieros: representa el monto disponible para inversión misional, calculado como los recursos totales (matrícula, venta de servicios y transferencias de la Nación) menos los gastos en nómina docente, administrativa y pasivos pensionales2.(Para dar contexto completo al modelo de función de producción, los productos o outputs definidos para este análisis de cobertura corresponden a la matrícula total de pregrado y la matrícula total de posgrado23).</t>
  </si>
  <si>
    <t>Los cuatro insumos y los dos productos coinciden con la fila T05</t>
  </si>
  <si>
    <t>Según el estudio de **Maza Ávila et al. (2017)** (*maza-avila-2017.pdf*), la **productividad promedio de las universidades públicas colombianas creció alrededor del 9%** (9 puntos porcentuales) a lo largo del período 2003–2012[1].
De acuerdo con la descomposición del **Índice de Productividad de Malmquist** realizada por los autores para las 32 instituciones evaluadas del Sistema Universitario Estatal (SUE), este crecimiento se explica por dos factores:
* **Cambio tecnológico (progreso tecnológico):** creció a una tasa promedio aproximada del **7%** (factor de 1,07), siendo el principal motor del aumento en la productividad[2][3].
* **Cambio en la eficiencia técnica:** contribuyó con un incremento promedio del **4%** (factor de 1,04)[2].
El documento destaca además que existió una alta variabilidad entre regiones y períodos, registrándose incrementos más marcados en las regiones Pacífica, Amazonia y Orinoquia (promedio del 11%), mientras que la región Caribe obtuvo el crecimiento promedio más bajo[4][5].</t>
  </si>
  <si>
    <t>9 %, 7 % y 4 %, con el patrón regional correcto</t>
  </si>
  <si>
    <t>En el estudio de Vázquez Rojas y Pérez-Esparrells (2016) (Cambios de la productividad en las universidades públicas españolas, 2002-2009), el índice de cambio de la productividad de Malmquist (siguiendo la propuesta de Färe et al., 1994) se descompone multiplicativamente en dos componentes principales12:$$ \text{Índice de Malmquist} = \text{CET} \times \text{CT} $$Cambio en la Eficiencia Técnica (CET) o Efecto Catching-up: Mide el grado de convergencia de la unidad analizada hacia la frontera de posibilidades de producción entre dos períodos de tiempo ($t$ y $t+1$), es decir, evalúa si la entidad se acercó o se alejó de las mejores prácticas3.Cambio Tecnológico / Cambio Técnico (CT) o Efecto Shift Frontier: Mide el desplazamiento de la propia frontera de producción a lo largo del tiempo, determinando si la tecnología global del sector se expandió o se contrajo34.Un valor superior a la unidad en cualquiera de estos dos componentes refleja una mejora entre los períodos evaluados, mientras que un valor inferior a la unidad representa un retroceso23.</t>
  </si>
  <si>
    <t>Cambio de eficiencia técnica por cambio técnico, coincide con T07</t>
  </si>
  <si>
    <t xml:space="preserve">En el estudio de **Melo-Becerra, Ramos-Forero y Hernández-Santamaría (2017)** (`melo-becerra-2017.pdf`), los autores utilizan las siguientes técnicas metodológicas para estimar la eficiencia:
* **Técnica principal:** Utilizan la metodología de **frontera estocástica** (*Stochastic Frontier Analysis* / SFA).
* **Función de producción:** Especifican una **función de producción de tipo Cobb-Douglas**.
* **Medición del producto (*output*):** Evalúan el logro académico utilizando los resultados de las pruebas genéricas **Saber Pro** del segundo semestre de 2011.
* **Tratamiento de variables de entorno y heterogeneidad:** Emplean dos aproximaciones o modelos econométricos para analizar cómo las variables de infraestructura, docentes y factores socioeconómicos/ambientales afectan los resultados:
  1. **Modelo base:** Las variables de entorno entran directamente como regresores en la función de producción (afectando la frontera), estimándose bajo una distribución normal-truncada.
  2. **Modelo alternativo:** Las variables de entorno son una función del término de ineficiencia (\\(u\\)), siguiendo la aproximación semiparamétrica de **Battese y Coelli (1995)**.
</t>
  </si>
  <si>
    <t>Identifica frontera estocástica, no DEA. Dice "segundo semestre de 2011": el artículo se contradice (introducción: primer semestre; metodología: segundo). El sistema tomó el de la metodología</t>
  </si>
  <si>
    <t>En el estudio de **Melo-Becerra, Ramos-Forero y Hernández-Santamaría (2017)** (`melo-becerra-2017.pdf`), los autores exponen lo siguiente acerca del estado de los estudios de eficiencia educativa en Colombia:
* **Concentración en educación básica y media:** A escala nacional, señalan que las investigaciones sobre eficiencia en el sector educativo se habían concentrado de forma predominante en la educación básica y media (destacando como antecedente el trabajo de Iregui, Melo y Ramos de 2007 sobre colegios mediante fronteras estocásticas).
* **Ausencia de estudios previos en educación superior:** Indican explícitamente que, al momento de redactar su investigación, **no se identificaron estudios que evaluaran la eficiencia de las universidades ni de instituciones técnicas o tecnológicas** en Colombia.
* **Uso de pruebas de logro académico:** Explican que, a diferencia de la educación básica y media, en los estudios de educación superior (a nivel general/internacional) las pruebas de logro no solían utilizarse frecuentemente como medida de producto (*output*) debido a la falta de exámenes estandarizados, optándose comúnmente por el número de matriculados o indicadores de investigación.</t>
  </si>
  <si>
    <t>Contenido correcto, pero la respuesta no trae ninguna cita, lo que incumple el protocolo. El tercer punto, sobre el uso de pruebas de logro en estudios internacionales, no se verificó contra la fuente</t>
  </si>
  <si>
    <t>En el estudio de **Visbal-Cadavid et al. (2017)** (`visbal-cadavid-2017.pdf`), los datos analizados provienen del Ministerio de Educación Nacional de Colombia y corresponden a los siguientes periodos:
* **Año base para la evaluación de eficiencia:** Los datos corresponden principalmente al año **2012**, con los cuales se estimaron los índices de eficiencia técnica, pura, de escala y de mezcla para las universidades públicas colombianas.
* **Periodo para el análisis de productividad:** Se utilizan datos de los años **2011 y 2012** para calcular el Índice de Productividad de Malmquist y medir la evolución de la productividad entre ambos años.</t>
  </si>
  <si>
    <t>2012 para eficiencia y 2011–2012 para Malmquist, coincide con el resumen</t>
  </si>
  <si>
    <t xml:space="preserve">En el estudio de **Visbal-Cadavid et al. (2017)** (`visbal-cadavid-2017.pdf`), los autores emplean los siguientes modelos y orientación metodológica:
### Modelos DEA y de productividad aplicados
* **Modelo CCR:** Modelo con rendimientos constantes a escala para estimar la eficiencia técnica global.
* **Modelo BCC:** Modelo con rendimientos variables a escala para medir la eficiencia técnica pura o desempeño administrativo.
* **Modelo SBM (*Slacks-Based Measure*):** Modelo no radial basado en holguras que permite capturar simultáneamente excesos de insumos y déficits de productos, midiendo la eficiencia de mezcla (*mix efficiency*).
* **Modelo de eficiencia cruzada optimizado según Pareto (*Pareto efficient cross-efficiency*):** Basado en la propuesta de Wu et al. (2016), utilizado para discriminar y establecer un escalafón o *ranking* de las instituciones.
* **Índice de Productividad de Malmquist (MPI):** Empleado para evaluar la evolución y cambio en la productividad total de los factores entre los años 2011 y 2012, descomponiéndolo en cambio en la eficiencia técnica y cambio tecnológico.
### Orientación del modelo
* **Orientación a salidas (*output orientation*):** Todos los modelos DEA aplicados en la investigación adoptan una orientación a productos o salidas.
* **Justificación:** Los autores señalan que esta orientación es la más adecuada para el sistema universitario, dado que para mejorar la gestión de una institución ineficiente resulta más lógico y viable incrementar sus resultados o productos (como matrículas, graduados, artículos e indicadores de investigación) que reducir los recursos o insumos asignados.
</t>
  </si>
  <si>
    <t>CCR, BCC y SBM con orientación a productos. Añade eficiencia cruzada y Malmquist, que coinciden con el resumen del artículo</t>
  </si>
  <si>
    <t>En el estudio de **Visbal-Cadavid et al. (2017)** (`visbal-cadavid-2017.pdf`), los autores aplican el Índice de Productividad de Malmquist (*Malmquist Productivity Index* / MPI) para analizar los cambios en la productividad total de los factores de las universidades públicas colombianas entre los años **2011 y 2012**.</t>
  </si>
  <si>
    <t>2011–2012</t>
  </si>
  <si>
    <t>En el estudio de **Marques et al. (2020)** (*marques-2020.pdf*), los autores utilizan las ediciones del Exame Nacional de Desempenho dos Estudantes (ENADE) correspondientes a los años **2012** y **2015**[1][2].
Detalles sobre estas ediciones en el estudio:
* **Población evaluada:** Corresponden a los microdatos de los estudiantes concluyentes (graduandos) del programa de **Ciencias Económicas** en instituciones de educación superior (IES) públicas y privadas de Brasil[1][2].
* **Justificación de la selección:** Se enfocaron en 2012 y 2015 por ser las ediciones más recientes disponibles con microdatos del ENADE para el área de economía al momento de realizar el análisis[3].
* **Tamaño de la muestra utilizada:**
  * **2012:** 6.915 alumnos distribuidos en 102 instituciones (54 públicas y 48 privadas)[4].
  * **2015:** 6.880 alumnos distribuidos en 99 instituciones (60 públicas y 39 privadas)[4].</t>
  </si>
  <si>
    <t>2012 y 2015. Los tamaños de muestra que agrega no se verificaron</t>
  </si>
  <si>
    <t>En el estudio de **Marques et al. (2020)** (*marques-2020.pdf*), los autores siguen la metodología de Thanassoulis y Portela (2002) para descomponer la eficiencia técnica global en **dos componentes principales**[1][2]:
1. **Componente relativo al desempeño y motivación del estudiante:** mide el esfuerzo y rendimiento del alumno de forma individual en relación con la frontera de eficiencia de su propia institución[2].
2. **Componente relativo a la eficiencia de la Institución de Educación Superior (IES):** mide la capacidad y gestión propia de la universidad para agregar conocimiento académico a sus estudiantes en comparación con otras instituciones[2].
Esta descomposición permite separar la responsabilidad y el esfuerzo que corresponden al estudiante de la eficiencia que depende directamente de la gestión institucional[4][5].</t>
  </si>
  <si>
    <t>Alumno e institución, según Thanassoulis y Portela (2002), coincide con T19</t>
  </si>
  <si>
    <t xml:space="preserve">En el estudio de **Navarro Chávez et al. (2016)** (`navarro-chavez-2016.pdf`), los autores evalúan un total de **32 universidades públicas de México** con datos correspondientes al año 2012.
Al incorporar la técnica estadística de ***bootstrap*** (con 2.000 re-muestreos o iteraciones) para corregir el sesgo de la frontera determinística DEA, ocurren los siguientes efectos principales:
* **Disminución generalizada de las puntuaciones medias de eficiencia (corrección de sesgo):**
  * **Eficiencia técnica pura (VRS):** El promedio disminuye de **0,87** en el modelo DEA original a **0,77** tras aplicar *bootstrap*.
  * **Eficiencia técnica global (CRS):** El promedio se reduce de **0,80** en el modelo original a **0,71** con *bootstrap*.
  * **Eficiencia de escala:** El valor promedio ajustado se ubica en **0,92**.
* **Ausencia de unidades 100% eficientes:**
  * Al ajustar los datos por variaciones muestrales y ruido, **ninguna de las 32 universidades logra un valor de eficiencia igual a 1,0 (100%)**.
  * La **Universidad Autónoma de Querétaro** obtiene el puntaje ajustado más cercano al óptimo (0,93 en VRS), mientras que la **Universidad Autónoma de Chapingo** registra el desempeño más bajo del grupo.
</t>
  </si>
  <si>
    <t>32 universidades, 2012, 0,87→0,77 y 0,80→0,71: coincide con la fila T20. Añade 2.000 réplicas, eficiencia de escala 0,92 y los nombres de dos universidades, datos no verificados</t>
  </si>
  <si>
    <t xml:space="preserve">En el estudio de **Parteka y Wolszczak-Derlacz (2013)** (`parteka-2013.pdf`), las autoras analizan un total de **266 instituciones públicas de educación superior** distribuidas en **7 países europeos**.
El desglose detallado por país registrado en la investigación es el siguiente:
* **Alemania:** 67 instituciones
* **Austria:** 9 instituciones
* **Finlandia:** 15 instituciones
* **Gran Bretaña / Reino Unido:** 79 instituciones
* **Italia:** 54 instituciones
* **Polonia:** 31 instituciones
* **Suiza:** 11 instituciones
El periodo analizado en este panel balanceado comprende los años **2001 a 2005**.
</t>
  </si>
  <si>
    <t>266 instituciones, 7 países, 2001–2005. El desglose por país suma 266, consistente con el total</t>
  </si>
  <si>
    <t xml:space="preserve">En el documento de **Charnes, Cooper y Rhodes (1978)** (`charnes-1978.pdf`), los autores definen el modelo propuesto (Análisis Envolvente de Datos / DEA - modelo CCR) bajo los siguientes principios y elementos clave:
* **Medida escalar de eficiencia relativa:** Definen el modelo como una formulación de programación matemática no lineal (no convexa) que proporciona una medida escalar adimensional de la eficiencia de cada Unidad Tomadora de Decisiones (DMU).
* **Razón de productos ponderados sobre insumos ponderados:** La medida de eficiencia de una DMU evaluada se obtiene como el **máximo de la razón entre sus productos ponderados y sus insumos ponderados**, sujeta a la restricción de que la razón similar para cada una de las DMUs del grupo de referencia sea menor o igual a la unidad (\\(\le 1\\)).
* **Determinación objetiva de pesos:** Los pesos asignados a cada insumo y producto no se imponen de forma arbitraria ni a priori, sino que se determinan objetivamente a partir de los datos observados, otorgando a la DMU evaluada la ponderación más favorable que permitan las restricciones.
* **Equivalencia con programación lineal:** Para hacer factible su cálculo computacional, reducen la formulación fraccional/no lineal original a un problema equivalente de **programación lineal ordinaria** (y su correspondiente problema dual).
* **Condición de eficiencia de Pareto (Pareto-Koopmans):** Establecen que una DMU solo puede ser clasificada como estrictamente eficiente si cumple dos condiciones simultáneas: 
  1. Su puntuación o índice de eficiencia alcanzado es igual a 1 (\\(z_0^* = 1\\) o \\(h_0 = 1\\)).
  2. Todas sus variables de holgura (*slack variables* de insumos y productos) son iguales a cero.
</t>
  </si>
  <si>
    <t>Programación no lineal con equivalencia a programación lineal, coincide con T11. Añade la condición de Pareto-Koopmans</t>
  </si>
  <si>
    <t>En el estudio de **Morales-Piñero, Niño-Muñoz y Lesmes-Cárdenas (2022)** (*morales-pinero-2022.pdf*), en el cual se evaluaron **122 universidades colombianas** utilizando un modelo de **metafrontera DEA con** **bad output** (incorporando el desempleo formal o graduados no cotizantes), **no se encontraron diferencias estadísticamente significativas** en la eficiencia global entre la gestión pública y la privada[1].
A pesar de que las universidades públicas registraron un nivel promedio de ineficiencia ligeramente menor en el modelo de frontera por sector (18,9% de ineficiencia frente al 19,8% en las privadas), el análisis de varianza (ANOVA) demostró que esta brecha no es estadísticamente significativa[3][4].
No obstante, el estudio identificó variaciones importantes al analizar el desempeño de la gestión según el **entorno de mercado (competencia vs. monopolio)**[1][5]:
* **En entornos de competencia (grandes ciudades):** Cuando instituciones públicas y privadas coexisten en el mismo municipio, **las universidades públicas alcanzan mayores niveles de eficiencia** que las privadas[5][6]. Los autores explican que la competencia en grandes ciudades genera un ciclo virtuoso al motivar a las universidades públicas a atraer a los mejores docentes y estudiantes[6].
* **En entornos de monopolio (municipios intermedios):** Cuando actúan como único prestador en un municipio, **las universidades públicas pierden eficiencia** (su ineficiencia se incrementa en 9 puntos porcentuales)[6][7]. Por el contrario, las **universidades privadas ganan eficiencia** (su eficiencia aumenta en 9 puntos porcentuales) al operar en condiciones de monopolio, aprovechando la exclusividad territorial y sus incentivos de gestión[6][7].
**Diferencias por funciones misionales:**
* **Investigación:** Las universidades públicas principales lideran la producción científica del país, generando en promedio **2,3 veces más investigación** que las instituciones privadas y produciendo 20,2 puntos de investigación por cada doctor, frente a 14,2 puntos en el sector privado[8][9].
* **Inserción laboral:** Las universidades privadas medianas lograron una **mejor vinculación al mercado laboral formal** (menor proporción de egresados no cotizantes) en comparación con las grandes universidades públicas[10].</t>
  </si>
  <si>
    <t>No hay diferencias significativas, 122 universidades. El 19,8 % que atribuye a las privadas corresponde al clúster de privadas medianas, no al conjunto</t>
  </si>
  <si>
    <t>En el estudio de **Romero-Bolívar y Rincón-Chaparro (2025)** (*rincon-romero-2025.pdf*), los autores reportan los siguientes valores del **Índice de Morán global** para medir la autocorrelación espacial de los resultados del examen **Saber 11** a nivel departamental en 2019 y 2023[1][2]:
### 1\. Valores del Índice de Morán para Saber 11
* **Media departamental (** **m\_pg** **):**
  * **2019:** **0,3577** (p &amp;lt; 0,01)[1].
  * **2023:** **0,3863** (p &amp;lt; 0,01)[1].
* **Mediana departamental (** **mna\_pg** **):**
  * **2019:** **0,3558** (p &amp;lt; 0,01)[1].
  * **2023:** **0,3803** (p &amp;lt; 0,01)[1].
---
### 2\. Interpretación de los resultados
* **Autocorrelación espacial positiva:** Todos los valores son positivos y estadísticamente significativos al 1% (p &amp;lt; 0,01), lo que demuestra que los resultados académicos no se distribuyen al azar, sino que se agrupan geográficamente entre departamentos con rendimientos similares[1][2].
* **Aumento en la agrupación territorial:** El incremento del índice entre 2019 (0,35) y 2023 (0,38) indica una tendencia hacia una mayor concentración geográfica de las brechas de rendimiento educativo[2][3].
---
### Datos complementarios (Índice Socioeconómico - INSE)
En la misma tabla de dependencia espacial, los autores comparan los resultados de Saber 11 con el Índice de Nivel Socioeconómico (INSE), registrando autocorrelaciones espaciales aún más elevadas[1][2]:
* **Media del INSE (** **m\_inse** **):** **0,5163** en 2019 y **0,5135** en 2023[1].
* **Mediana del INSE (** **mna\_inse** **):** **0,5195** en 2019 y **0,5105** en 2023[1].</t>
  </si>
  <si>
    <t>0,3577 y 0,3863. Cita a los autores en el orden de la sección "cómo citar", no en el del encabezado</t>
  </si>
  <si>
    <t xml:space="preserve">**No está en las fuentes.**
El corpus documental del cuaderno no contiene información sobre el presupuesto de la Universidad Nacional de Colombia para el año 2024. 
Los documentos que abordan aspectos financieros de las universidades públicas colombianas en el cuaderno (como Melo-Becerra et al., 2017; Visbal-Cadavid et al., 2017; y Maza-Ávila et al., 2017) registran datos e indicadores de recursos (*inputs*) correspondientes a periodos anteriores (principalmente entre 2003 y 2015), pero no incluyen cifras presupuestales para 2024.
</t>
  </si>
  <si>
    <t>Se abstiene. El contexto añadido dice que el corpus cubre "principalmente entre 2003 y 2015", impreciso: incluye datos hasta 2023 (rincon-romero-2025)</t>
  </si>
  <si>
    <t xml:space="preserve">**No está en las fuentes.**
El corpus documental cargado en el cuaderno no contiene información ni documentos sobre el "informe del PTE de 2024" ni la desagregación de universidades públicas en dicho informe.
</t>
  </si>
  <si>
    <t>Abstención limpia</t>
  </si>
  <si>
    <t xml:space="preserve">**No está en las fuentes.**
El corpus documental cargado en el cuaderno no contiene datos ni puntajes promedio del examen **Saber Pro por institución para el año 2024**.
---
### Desglose de información disponible y no disponible
* **Lo que no está en las fuentes:**
  No se registra ningún informe, tabla o indicador con los resultados del examen Saber Pro correspondientes a la vigencia 2024.
* **Lo que sí está en las fuentes sobre puntajes de Saber Pro:**
  * **Morales-Piñero et al. (2022)** (`morales-pinero-2022.pdf`): Reporta que, con datos de 2019, la media de los resultados globales en la prueba Saber Pro para las 122 instituciones de educación superior analizadas fue de **151,6 puntos** sobre 300 posibles.
  * **Melo-Becerra et al. (2017)** (`melo-becerra-2017.pdf`): Utiliza los resultados de las pruebas genéricas de Saber Pro del segundo semestre de **2011** por grupo de referencia y presenta promedios por área de conocimiento para **2012**.
  * **Visbal-Cadavid et al. (2017)** (`visbal-cadavid-2017.pdf`): Incluye como variable de producto (*output*) el número de estudiantes ubicados en el quintil superior de las pruebas Saber Pro en el año **2012**.
</t>
  </si>
  <si>
    <t>Se abstiene, pero el contexto añadido tiene un error: atribuye a Morales-Piñero la media de 151,6 "con datos de 2019", cuando el estudio indica que sus variables corresponden al periodo 2018-02 (salvo cotizantes, 2019-01). La cifra de 151,6 sí es correcta</t>
  </si>
  <si>
    <t>Control A (sin fuentes)</t>
  </si>
  <si>
    <t>Galvis-Aponte reporta una eficiencia promedio en cobertura cercana al 67 % para los municipios colombianos.
En otras palabras, en promedio los municipios alcanzaban aproximadamente dos terceras partes del nivel de cobertura considerado eficiente, según el indicador utilizado en su análisis.
Si me dices el artículo o capítulo de Galvis-Aponte que estás usando, puedo darte el valor exacto, el año, la metodología DEA y cómo citar e interpretar ese resultado en tu estado del arte.</t>
  </si>
  <si>
    <t>Dice 67 %; son 63,43</t>
  </si>
  <si>
    <t xml:space="preserve">Galvis-Aponte reporta una **eficiencia promedio en calidad de aproximadamente 60 %** para los municipios colombianos.
</t>
  </si>
  <si>
    <t>Dice 60 %; son 48,81</t>
  </si>
  <si>
    <t xml:space="preserve">Galvis-Aponte utiliza un modelo **DEA orientado a productos (outputs)**. Es decir, mantiene los insumos dados y evalúa cuánto podrían aumentar los resultados de los municipios.
Los **insumos** utilizados corresponden principalmente a recursos asociados con la prestación de los servicios municipales, mientras que los productos representan dimensiones de **cobertura y calidad**.
Si estás hablando del estudio de **Galvis-Aponte sobre eficiencia municipal en educación**, pásame el título o la referencia que estás usando y te indico **uno por uno los insumos y productos exactos**, porque Galvis-Aponte tiene varios trabajos de eficiencia municipal y no quiero mezclar especificaciones.
</t>
  </si>
  <si>
    <t>Dice orientación a productos; es a insumos</t>
  </si>
  <si>
    <t xml:space="preserve">Maza Ávila et al. evalúan **32 universidades públicas colombianas** durante el período **2011–2014**.
</t>
  </si>
  <si>
    <t>Acierta las 32 universidades, pero inventa el periodo: dice 2011–2014 y es 2003–2012</t>
  </si>
  <si>
    <t xml:space="preserve">En el modelo DEA de **Maza Ávila et al.**, los principales **insumos (inputs)** son:
* **Número de docentes**.
* **Número de empleados administrativos**.
* **Recursos financieros / presupuesto** de las universidades.
Estos insumos se relacionan con los productos utilizados para medir el desempeño de las universidades públicas durante el período analizado.
</t>
  </si>
  <si>
    <t>Da tres insumos y omite los recursos físicos</t>
  </si>
  <si>
    <t xml:space="preserve">Según **Maza Ávila et al.**, la productividad de las universidades públicas colombianas **creció aproximadamente un 4,8 %** durante el período analizado, medida mediante el **índice de productividad de Malmquist**.
</t>
  </si>
  <si>
    <t>Dice 4,8 %; es 9 %</t>
  </si>
  <si>
    <t xml:space="preserve">Según **Vázquez Rojas y Pérez-Esparrells**, el **índice de productividad de Malmquist** se descompone en dos componentes principales:
1. **Cambio en la eficiencia técnica (EC)**: mide si las universidades se acercan o se alejan de la frontera eficiente.
2. **Cambio tecnológico (TC)**: mide el desplazamiento de la propia frontera de producción entre períodos.
Por tanto:
$$
\boxed{MPI = EC \times TC}
$$
Es decir, el cambio en la productividad total se explica por **cambios en la eficiencia** y **cambios tecnológicos**.
</t>
  </si>
  <si>
    <t>Acierta por conocimiento general: es la descomposición estándar de Färe et al. Sin fuente</t>
  </si>
  <si>
    <t>Melo-Becerra et al. utilizan **Análisis Envolvente de Datos (DEA, Data Envelopment Analysis)** para estimar la eficiencia de las instituciones de educación superior.
En términos sencillos, **DEA es una técnica no paramétrica** que compara varias universidades considerando simultáneamente sus **insumos (inputs)** y **productos (outputs)**, y construye una frontera de eficiencia relativa.
Para tu estado del arte podrías decir:
&gt; **Melo-Becerra et al. estiman la eficiencia de las instituciones de educación superior mediante el método DEA (Data Envelopment Analysis), una técnica no paramétrica que permite comparar la eficiencia relativa de las instituciones a partir de múltiples insumos y productos.**
Si me dices **el título exacto del trabajo de Melo-Becerra et al.**, puedo decirte además **qué modelo DEA emplean (CCR, BCC, orientación a inputs/outputs, etc.) y qué variables utilizan**, que es importante para describir correctamente la metodología.</t>
  </si>
  <si>
    <t>Afirma que usa DEA. El artículo usa frontera estocástica. Es el mismo error del fallo 1 de Anderson, ahora reproducido en otra herramienta</t>
  </si>
  <si>
    <t>Melo-Becerra et al. señalan que los estudios de eficiencia en la **educación superior colombiana** buscan evaluar qué tan bien las instituciones transforman sus recursos —como docentes, infraestructura y recursos financieros— en resultados educativos y de investigación.
En particular, su trabajo utiliza **DEA** para medir la eficiencia relativa de instituciones de educación superior en Colombia y muestra que existen **diferencias importantes en los niveles de eficiencia entre instituciones**.
Para tu estado del arte, una redacción prudente sería:
&gt; **Melo-Becerra et al. analizan la eficiencia de las instituciones de educación superior en Colombia mediante el método DEA, destacando la existencia de diferencias en la capacidad de las instituciones para transformar sus recursos en resultados académicos y de investigación.**
Si estás trabajando específicamente con el artículo de **Melo-Becerra, Ramos-Forero y Hernández-Santamaría**, puedo revisar exactamente **qué dicen sobre los antecedentes de estudios de eficiencia en Colombia** y separar lo que ellos afirman de lo que sería una interpretación.</t>
  </si>
  <si>
    <t>No menciona la afirmación central (que no se identificaron estudios de eficiencia en educación superior) y repite que el artículo usa DEA</t>
  </si>
  <si>
    <t>En el estudio de **Visbal-Cadavid et al. (2017)**, los datos corresponden al **año 2014**.</t>
  </si>
  <si>
    <t>Dice 2014. Los datos son de 2012</t>
  </si>
  <si>
    <t>Visbal-Cadavid et al. (2017) aplican modelos **DEA-CCR y DEA-BCC**, con **orientación a los productos (outputs)**.
En concreto:
* **CCR:** supone rendimientos constantes a escala.
* **BCC:** permite rendimientos variables a escala.
* **Orientación output:** busca determinar cuánto pueden **aumentarse los productos/resultados** manteniendo constantes los recursos utilizados.
Para tu sustentación puedes decir:
&gt; **“Visbal-Cadavid et al. (2017) emplean modelos DEA-CCR y DEA-BCC con orientación a outputs para evaluar la eficiencia de las instituciones de educación superior.”**</t>
  </si>
  <si>
    <t>Acierta la orientación a productos y dos de los tres modelos (CCR y BCC), pero omite SBM</t>
  </si>
  <si>
    <t>Visbal-Cadavid et al. (2017) aplican el **índice de Malmquist para el período 2011–2014**.
Es decir, analizan el cambio en la productividad de las instituciones de educación superior **entre 2011 y 2014**, utilizando los datos disponibles para esos años.</t>
  </si>
  <si>
    <t>Dice 2011–2014. El periodo es 2011–2012</t>
  </si>
  <si>
    <t xml:space="preserve">¿Te refieres a qué artículo o trabajo de **Marques et al.**? Hay varias publicaciones con ese apellido y pueden usar distintas ediciones del ENADE.
Si me pasas la **referencia, título, DOI o un enlace** al trabajo, te digo exactamente qué ediciones del ENADE utilizan.
</t>
  </si>
  <si>
    <t>No inventa, pide la referencia. Repetida en una conversación limpia, porque la primera corrida conservaba contexto de sesiones anteriores</t>
  </si>
  <si>
    <t xml:space="preserve">Marques et al. descompone la eficiencia en **eficiencia técnica pura** y **eficiencia de escala**.
* **Eficiencia técnica pura (PTE):** refleja qué tan bien una institución transforma sus insumos en productos, independientemente de su escala de operación.
* **Eficiencia de escala (SE):** refleja si la institución está operando en una escala adecuada.
La relación es:
$$
\text{Eficiencia técnica (TE)}
=
\text{Eficiencia técnica pura (PTE)}
\times
\text{Eficiencia de escala (SE)}
$$
Es una descomposición típica de un modelo **DEA BCC (VRS)** frente al **CCR (CRS)**.
</t>
  </si>
  <si>
    <t>Dice eficiencia técnica pura y de escala; son alumno e institución</t>
  </si>
  <si>
    <t>Si te refieres al estudio de **Navarro Chávez et al. sobre eficiencia de universidades mexicanas**, evalúa **35 universidades públicas estatales**.
Al aplicar **bootstrap**, los niveles de eficiencia **disminuyen en comparación con las estimaciones DEA originales**, porque el procedimiento corrige el sesgo al alza propio de la estimación DEA convencional. En otras palabras, la eficiencia estimada inicialmente tiende a estar **sobreestimada** y, después de la corrección bootstrap, los valores son más conservadores.
Para tu estado del arte puedes escribir:
&gt; **Navarro Chávez et al. evalúan 35 universidades públicas estatales mexicanas y, mediante bootstrap, corrigen el sesgo de las estimaciones DEA, obteniendo niveles de eficiencia inferiores a los estimados inicialmente.**</t>
  </si>
  <si>
    <t>Dice 35 universidades; son 32. Acierta la dirección del efecto del bootstrap (reduce la eficiencia), sin cifras</t>
  </si>
  <si>
    <t>El estudio de **Parteka y Wolszczak-Derlacz** analiza **159 universidades de 7 países europeos**.
Los países incluidos son: **Austria, Finlandia, Francia, Alemania, Italia, Polonia y Reino Unido**.</t>
  </si>
  <si>
    <t>Dice 159 universidades; son 266. Acierta 7 países, pero incluye Francia, que no está, y omite Suiza</t>
  </si>
  <si>
    <t>Charnes, Cooper y Rhodes (1978) definen el modelo **CCR (DEA)** como un modelo para medir la **eficiencia relativa de unidades de decisión (DMU)** que utilizan múltiples insumos (*inputs*) para producir múltiples productos (*outputs*).
La idea central es:
&gt; **La eficiencia se obtiene como la razón entre una combinación ponderada de outputs y una combinación ponderada de inputs, seleccionando los pesos que hacen máxima esa razón para cada unidad, bajo la condición de que ninguna unidad tenga una eficiencia superior a 1.**
Además, el modelo CCR supone **rendimientos constantes a escala (CRS)**.
Para decirlo en una sustentación:
&gt; **“Charnes, Cooper y Rhodes proponen un modelo DEA que mide la eficiencia relativa de las unidades comparando múltiples inputs y outputs, bajo el supuesto de rendimientos constantes a escala.”**</t>
  </si>
  <si>
    <t>Define bien el modelo por conocimiento general; es un artículo clásico. Sin fuente y sin mencionar la equivalencia con programación lineal</t>
  </si>
  <si>
    <t xml:space="preserve">El estudio de **metafrontera** encontró que existen **diferencias de eficiencia entre las universidades públicas y privadas colombianas**, asociadas a las distintas fronteras tecnológicas con las que operan.
En particular, el análisis mediante **DEA de metafrontera** permite separar:
* **Eficiencia técnica dentro del grupo**: qué tan cerca está cada universidad de la frontera de su propio grupo (públicas o privadas).
* **Brecha tecnológica (TGR)**: qué tan cerca está la frontera de cada grupo de la **metafrontera común**.
Si me compartes el **autor o título del estudio de metafrontera** que estás usando, puedo darte el **resultado numérico exacto de la diferencia entre públicas y privadas**, sin mezclarlo con otro estudio.
</t>
  </si>
  <si>
    <t>Afirma que existen diferencias entre públicas y privadas, que es lo contrario de lo que concluye el estudio. Además promete "el resultado numérico exacto" sin tener la fuente</t>
  </si>
  <si>
    <t xml:space="preserve">El estudio reporta valores del **índice de Moran global positivos y estadísticamente significativos** para los resultados de **Saber 11 por departamento**, lo que indica autocorrelación espacial.
Pero para darte los **valores numéricos exactos** necesito identificar el estudio específico, porque hay varios trabajos sobre autocorrelación espacial de los resultados de Saber 11 y los valores cambian según el año y la especificación.
Si me pasas **el título, autores o la referencia** del estudio que estás usando, te digo directamente los valores de Moran que reporta.
</t>
  </si>
  <si>
    <t>No inventa valores; reconoce que necesita identificar el estudio</t>
  </si>
  <si>
    <t>Si te refieres al **presupuesto aprobado de la Universidad Nacional de Colombia para la vigencia 2024**, puedo darte la cifra exacta, pero necesito verificarla en la fuente oficial de la Universidad o del Presupuesto General de la Nación para no confundirte entre **presupuesto aprobado, apropiación vigente y ejecución**.</t>
  </si>
  <si>
    <t>No inventa cifra, pero ofrece darla "exacta" sin tener acceso a fuentes</t>
  </si>
  <si>
    <t>Si te refieres al **PTE (Portal de Transparencia Económica) del Presupuesto General de la Nación 2024**, la información de educación superior aparece desagregada por universidad.
La cifra que necesitas es **32 universidades públicas**.
Si esto es para tu trabajo sobre eficiencia/productividad, puedo también darte **la lista de las 32 universidades** que aparecen en el PTE 2024.</t>
  </si>
  <si>
    <t>Inventa "32 universidades públicas". El informe del PTE 2024 que tiene el equipo trae 34</t>
  </si>
  <si>
    <t>Si te refieres al **puntaje promedio de Saber Pro por institución en Colombia en 2024**, no existe un único promedio para todas las instituciones: el ICFES reporta el resultado **por institución y por área de conocimiento/módulo**.
Si estás buscando el dato para tu análisis de **universidades públicas de 2024**, dime si necesitas:
* **puntaje global promedio** por universidad, o
* el promedio de un módulo específico (Lectura Crítica, Razonamiento Cuantitativo, etc.).
Así puedo darte la cifra exacta y la fuente correspondiente.</t>
  </si>
  <si>
    <t>No inventa, pide precisar. Igual que en Q20, promete una cifra exacta sin fuente</t>
  </si>
  <si>
    <t>Resultados del banco (se calculan solos)</t>
  </si>
  <si>
    <t>Indicador</t>
  </si>
  <si>
    <t>Sistema</t>
  </si>
  <si>
    <t>Control A</t>
  </si>
  <si>
    <t>Diferencia</t>
  </si>
  <si>
    <t>Preguntas respondidas</t>
  </si>
  <si>
    <t>Respuestas correctas</t>
  </si>
  <si>
    <t>Citas al lugar correcto</t>
  </si>
  <si>
    <t>Abstenciones correctas (de 3)</t>
  </si>
  <si>
    <t>Proporción de respuestas correctas</t>
  </si>
  <si>
    <t>Con 20 preguntas, reporten la diferencia como conteo y no solo como porcentaje: el tamaño no permite afirmar diferencias pequeñas.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</si>
</sst>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charset val="1"/>
    </font>
    <font>
      <sz val="10"/>
      <name val="Arial"/>
      <family val="2"/>
    </font>
    <font>
      <b/>
      <sz val="13"/>
      <name val="Arial"/>
      <family val="2"/>
    </font>
    <font>
      <b/>
      <sz val="10"/>
      <name val="Arial"/>
      <family val="2"/>
    </font>
    <font>
      <b/>
      <sz val="11"/>
      <color rgb="FFFFFFFF"/>
      <name val="Arial"/>
      <family val="2"/>
    </font>
    <font>
      <i/>
      <sz val="9"/>
      <name val="Arial"/>
      <family val="2"/>
    </font>
  </fonts>
  <fills count="5">
    <fill>
      <patternFill patternType="none"/>
    </fill>
    <fill>
      <patternFill patternType="gray125"/>
    </fill>
    <fill>
      <patternFill patternType="solid">
        <fgColor rgb="FF3D008D"/>
        <bgColor rgb="FF000080"/>
      </patternFill>
    </fill>
    <fill>
      <patternFill patternType="solid">
        <fgColor rgb="FFFCE5CD"/>
        <bgColor rgb="FFFFF2A8"/>
      </patternFill>
    </fill>
    <fill>
      <patternFill patternType="solid">
        <fgColor rgb="FFFFF2A8"/>
        <bgColor rgb="FFFCE5C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xf numFmtId="0" fontId="4" fillId="2" borderId="1" xfId="0" applyFont="1" applyFill="1" applyBorder="1" applyAlignment="1">
      <alignment vertical="top" wrapText="1"/>
    </xf>
    <xf numFmtId="0" fontId="2" fillId="0" borderId="0" xfId="0" applyFont="1"/>
    <xf numFmtId="0" fontId="4" fillId="2" borderId="1" xfId="0" applyFont="1" applyFill="1" applyBorder="1"/>
    <xf numFmtId="0" fontId="3" fillId="0" borderId="1" xfId="0" applyFont="1" applyBorder="1"/>
    <xf numFmtId="164" fontId="3" fillId="0" borderId="1" xfId="0" applyNumberFormat="1" applyFont="1" applyBorder="1"/>
    <xf numFmtId="0" fontId="5" fillId="0" borderId="0" xfId="0" applyFont="1"/>
    <xf numFmtId="0" fontId="1" fillId="4" borderId="1" xfId="0" applyFont="1" applyFill="1" applyBorder="1" applyAlignment="1">
      <alignment vertical="top" wrapText="1"/>
    </xf>
    <xf numFmtId="0" fontId="1" fillId="0" borderId="1" xfId="0" applyFont="1" applyBorder="1" applyAlignment="1">
      <alignment vertical="top" wrapText="1"/>
    </xf>
    <xf numFmtId="0" fontId="1" fillId="3" borderId="1" xfId="0" applyFont="1" applyFill="1" applyBorder="1" applyAlignment="1">
      <alignment vertical="top" wrapText="1"/>
    </xf>
    <xf numFmtId="0" fontId="1" fillId="0" borderId="1" xfId="0"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5CD"/>
      <rgbColor rgb="FFCCFFFF"/>
      <rgbColor rgb="FF3D008D"/>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3"/>
  <sheetViews>
    <sheetView tabSelected="1" zoomScaleNormal="100" workbookViewId="0">
      <pane ySplit="1" topLeftCell="A14" activePane="bottomLeft" state="frozen"/>
      <selection pane="bottomLeft" activeCell="C26" sqref="C26"/>
    </sheetView>
  </sheetViews>
  <sheetFormatPr baseColWidth="10" defaultColWidth="8.5703125" defaultRowHeight="15" x14ac:dyDescent="0.25"/>
  <cols>
    <col min="1" max="1" width="6" customWidth="1"/>
    <col min="2" max="2" width="50" customWidth="1"/>
    <col min="3" max="3" width="52" customWidth="1"/>
    <col min="4" max="4" width="22" customWidth="1"/>
    <col min="5" max="5" width="20" customWidth="1"/>
    <col min="6" max="6" width="13" customWidth="1"/>
  </cols>
  <sheetData>
    <row r="1" spans="1:6" ht="30" x14ac:dyDescent="0.25">
      <c r="A1" s="1" t="s">
        <v>0</v>
      </c>
      <c r="B1" s="1" t="s">
        <v>1</v>
      </c>
      <c r="C1" s="1" t="s">
        <v>2</v>
      </c>
      <c r="D1" s="1" t="s">
        <v>3</v>
      </c>
      <c r="E1" s="1" t="s">
        <v>4</v>
      </c>
      <c r="F1" s="1" t="s">
        <v>5</v>
      </c>
    </row>
    <row r="2" spans="1:6" ht="42" customHeight="1" x14ac:dyDescent="0.25">
      <c r="A2" s="8" t="s">
        <v>6</v>
      </c>
      <c r="B2" s="8" t="s">
        <v>7</v>
      </c>
      <c r="C2" s="8" t="s">
        <v>8</v>
      </c>
      <c r="D2" s="8" t="s">
        <v>9</v>
      </c>
      <c r="E2" s="8" t="s">
        <v>10</v>
      </c>
      <c r="F2" s="8" t="s">
        <v>11</v>
      </c>
    </row>
    <row r="3" spans="1:6" ht="42" customHeight="1" x14ac:dyDescent="0.25">
      <c r="A3" s="8" t="s">
        <v>12</v>
      </c>
      <c r="B3" s="8" t="s">
        <v>13</v>
      </c>
      <c r="C3" s="8" t="s">
        <v>14</v>
      </c>
      <c r="D3" s="8" t="s">
        <v>9</v>
      </c>
      <c r="E3" s="8" t="s">
        <v>10</v>
      </c>
      <c r="F3" s="8" t="s">
        <v>11</v>
      </c>
    </row>
    <row r="4" spans="1:6" ht="42" customHeight="1" x14ac:dyDescent="0.25">
      <c r="A4" s="8" t="s">
        <v>15</v>
      </c>
      <c r="B4" s="8" t="s">
        <v>16</v>
      </c>
      <c r="C4" s="8" t="s">
        <v>17</v>
      </c>
      <c r="D4" s="8" t="s">
        <v>9</v>
      </c>
      <c r="E4" s="8" t="s">
        <v>18</v>
      </c>
      <c r="F4" s="8" t="s">
        <v>11</v>
      </c>
    </row>
    <row r="5" spans="1:6" ht="42" customHeight="1" x14ac:dyDescent="0.25">
      <c r="A5" s="8" t="s">
        <v>19</v>
      </c>
      <c r="B5" s="8" t="s">
        <v>20</v>
      </c>
      <c r="C5" s="8" t="s">
        <v>21</v>
      </c>
      <c r="D5" s="8" t="s">
        <v>22</v>
      </c>
      <c r="E5" s="8" t="s">
        <v>23</v>
      </c>
      <c r="F5" s="8" t="s">
        <v>11</v>
      </c>
    </row>
    <row r="6" spans="1:6" ht="42" customHeight="1" x14ac:dyDescent="0.25">
      <c r="A6" s="8" t="s">
        <v>24</v>
      </c>
      <c r="B6" s="8" t="s">
        <v>25</v>
      </c>
      <c r="C6" s="8" t="s">
        <v>26</v>
      </c>
      <c r="D6" s="8" t="s">
        <v>22</v>
      </c>
      <c r="E6" s="8" t="s">
        <v>23</v>
      </c>
      <c r="F6" s="8" t="s">
        <v>11</v>
      </c>
    </row>
    <row r="7" spans="1:6" ht="42" customHeight="1" x14ac:dyDescent="0.25">
      <c r="A7" s="8" t="s">
        <v>27</v>
      </c>
      <c r="B7" s="8" t="s">
        <v>28</v>
      </c>
      <c r="C7" s="8" t="s">
        <v>29</v>
      </c>
      <c r="D7" s="8" t="s">
        <v>22</v>
      </c>
      <c r="E7" s="8" t="s">
        <v>30</v>
      </c>
      <c r="F7" s="8" t="s">
        <v>11</v>
      </c>
    </row>
    <row r="8" spans="1:6" ht="42" customHeight="1" x14ac:dyDescent="0.25">
      <c r="A8" s="8" t="s">
        <v>31</v>
      </c>
      <c r="B8" s="8" t="s">
        <v>32</v>
      </c>
      <c r="C8" s="8" t="s">
        <v>33</v>
      </c>
      <c r="D8" s="8" t="s">
        <v>34</v>
      </c>
      <c r="E8" s="8" t="s">
        <v>35</v>
      </c>
      <c r="F8" s="8" t="s">
        <v>11</v>
      </c>
    </row>
    <row r="9" spans="1:6" ht="42" customHeight="1" x14ac:dyDescent="0.25">
      <c r="A9" s="8" t="s">
        <v>36</v>
      </c>
      <c r="B9" s="8" t="s">
        <v>37</v>
      </c>
      <c r="C9" s="8" t="s">
        <v>38</v>
      </c>
      <c r="D9" s="8" t="s">
        <v>39</v>
      </c>
      <c r="E9" s="8" t="s">
        <v>40</v>
      </c>
      <c r="F9" s="8" t="s">
        <v>11</v>
      </c>
    </row>
    <row r="10" spans="1:6" ht="42" customHeight="1" x14ac:dyDescent="0.25">
      <c r="A10" s="8" t="s">
        <v>41</v>
      </c>
      <c r="B10" s="8" t="s">
        <v>42</v>
      </c>
      <c r="C10" s="8" t="s">
        <v>43</v>
      </c>
      <c r="D10" s="8" t="s">
        <v>39</v>
      </c>
      <c r="E10" s="8" t="s">
        <v>44</v>
      </c>
      <c r="F10" s="8" t="s">
        <v>11</v>
      </c>
    </row>
    <row r="11" spans="1:6" ht="42" customHeight="1" x14ac:dyDescent="0.25">
      <c r="A11" s="8" t="s">
        <v>45</v>
      </c>
      <c r="B11" s="8" t="s">
        <v>46</v>
      </c>
      <c r="C11" s="8" t="s">
        <v>47</v>
      </c>
      <c r="D11" s="8" t="s">
        <v>48</v>
      </c>
      <c r="E11" s="8" t="s">
        <v>49</v>
      </c>
      <c r="F11" s="8" t="s">
        <v>11</v>
      </c>
    </row>
    <row r="12" spans="1:6" ht="42" customHeight="1" x14ac:dyDescent="0.25">
      <c r="A12" s="8" t="s">
        <v>50</v>
      </c>
      <c r="B12" s="8" t="s">
        <v>51</v>
      </c>
      <c r="C12" s="8" t="s">
        <v>52</v>
      </c>
      <c r="D12" s="8" t="s">
        <v>48</v>
      </c>
      <c r="E12" s="8" t="s">
        <v>53</v>
      </c>
      <c r="F12" s="8" t="s">
        <v>11</v>
      </c>
    </row>
    <row r="13" spans="1:6" ht="42" customHeight="1" x14ac:dyDescent="0.25">
      <c r="A13" s="8" t="s">
        <v>54</v>
      </c>
      <c r="B13" s="8" t="s">
        <v>55</v>
      </c>
      <c r="C13" s="8" t="s">
        <v>56</v>
      </c>
      <c r="D13" s="8" t="s">
        <v>48</v>
      </c>
      <c r="E13" s="8" t="s">
        <v>57</v>
      </c>
      <c r="F13" s="8" t="s">
        <v>11</v>
      </c>
    </row>
    <row r="14" spans="1:6" ht="42" customHeight="1" x14ac:dyDescent="0.25">
      <c r="A14" s="8" t="s">
        <v>58</v>
      </c>
      <c r="B14" s="8" t="s">
        <v>59</v>
      </c>
      <c r="C14" s="8" t="s">
        <v>60</v>
      </c>
      <c r="D14" s="8" t="s">
        <v>61</v>
      </c>
      <c r="E14" s="8" t="s">
        <v>62</v>
      </c>
      <c r="F14" s="8" t="s">
        <v>11</v>
      </c>
    </row>
    <row r="15" spans="1:6" ht="42" customHeight="1" x14ac:dyDescent="0.25">
      <c r="A15" s="8" t="s">
        <v>63</v>
      </c>
      <c r="B15" s="8" t="s">
        <v>64</v>
      </c>
      <c r="C15" s="8" t="s">
        <v>65</v>
      </c>
      <c r="D15" s="8" t="s">
        <v>61</v>
      </c>
      <c r="E15" s="8" t="s">
        <v>62</v>
      </c>
      <c r="F15" s="8" t="s">
        <v>11</v>
      </c>
    </row>
    <row r="16" spans="1:6" ht="42" customHeight="1" x14ac:dyDescent="0.25">
      <c r="A16" s="8" t="s">
        <v>66</v>
      </c>
      <c r="B16" s="8" t="s">
        <v>67</v>
      </c>
      <c r="C16" s="8" t="s">
        <v>68</v>
      </c>
      <c r="D16" s="8" t="s">
        <v>69</v>
      </c>
      <c r="E16" s="8" t="s">
        <v>70</v>
      </c>
      <c r="F16" s="8" t="s">
        <v>11</v>
      </c>
    </row>
    <row r="17" spans="1:6" ht="42" customHeight="1" x14ac:dyDescent="0.25">
      <c r="A17" s="8" t="s">
        <v>71</v>
      </c>
      <c r="B17" s="8" t="s">
        <v>72</v>
      </c>
      <c r="C17" s="8" t="s">
        <v>73</v>
      </c>
      <c r="D17" s="8" t="s">
        <v>74</v>
      </c>
      <c r="E17" s="8" t="s">
        <v>75</v>
      </c>
      <c r="F17" s="8" t="s">
        <v>11</v>
      </c>
    </row>
    <row r="18" spans="1:6" ht="42" customHeight="1" x14ac:dyDescent="0.25">
      <c r="A18" s="8" t="s">
        <v>76</v>
      </c>
      <c r="B18" s="8" t="s">
        <v>77</v>
      </c>
      <c r="C18" s="8" t="s">
        <v>78</v>
      </c>
      <c r="D18" s="8" t="s">
        <v>79</v>
      </c>
      <c r="E18" s="8" t="s">
        <v>80</v>
      </c>
      <c r="F18" s="8" t="s">
        <v>11</v>
      </c>
    </row>
    <row r="19" spans="1:6" ht="42" customHeight="1" x14ac:dyDescent="0.25">
      <c r="A19" s="8" t="s">
        <v>81</v>
      </c>
      <c r="B19" s="8" t="s">
        <v>82</v>
      </c>
      <c r="C19" s="8" t="s">
        <v>83</v>
      </c>
      <c r="D19" s="8" t="s">
        <v>84</v>
      </c>
      <c r="E19" s="8" t="s">
        <v>85</v>
      </c>
      <c r="F19" s="8" t="s">
        <v>11</v>
      </c>
    </row>
    <row r="20" spans="1:6" ht="42" customHeight="1" x14ac:dyDescent="0.25">
      <c r="A20" s="8" t="s">
        <v>86</v>
      </c>
      <c r="B20" s="8" t="s">
        <v>87</v>
      </c>
      <c r="C20" s="8" t="s">
        <v>88</v>
      </c>
      <c r="D20" s="8" t="s">
        <v>89</v>
      </c>
      <c r="E20" s="8" t="s">
        <v>90</v>
      </c>
      <c r="F20" s="8" t="s">
        <v>11</v>
      </c>
    </row>
    <row r="21" spans="1:6" ht="36" customHeight="1" x14ac:dyDescent="0.25">
      <c r="A21" s="9" t="s">
        <v>91</v>
      </c>
      <c r="B21" s="9" t="s">
        <v>92</v>
      </c>
      <c r="C21" s="9" t="s">
        <v>93</v>
      </c>
      <c r="D21" s="9" t="s">
        <v>94</v>
      </c>
      <c r="E21" s="9" t="s">
        <v>94</v>
      </c>
      <c r="F21" s="9" t="s">
        <v>95</v>
      </c>
    </row>
    <row r="22" spans="1:6" ht="36" customHeight="1" x14ac:dyDescent="0.25">
      <c r="A22" s="9" t="s">
        <v>96</v>
      </c>
      <c r="B22" s="9" t="s">
        <v>97</v>
      </c>
      <c r="C22" s="9" t="s">
        <v>93</v>
      </c>
      <c r="D22" s="9" t="s">
        <v>94</v>
      </c>
      <c r="E22" s="9" t="s">
        <v>94</v>
      </c>
      <c r="F22" s="9" t="s">
        <v>95</v>
      </c>
    </row>
    <row r="23" spans="1:6" ht="36" customHeight="1" x14ac:dyDescent="0.25">
      <c r="A23" s="9" t="s">
        <v>98</v>
      </c>
      <c r="B23" s="9" t="s">
        <v>99</v>
      </c>
      <c r="C23" s="9" t="s">
        <v>93</v>
      </c>
      <c r="D23" s="9" t="s">
        <v>94</v>
      </c>
      <c r="E23" s="9" t="s">
        <v>94</v>
      </c>
      <c r="F23" s="9" t="s">
        <v>95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5"/>
  <sheetViews>
    <sheetView zoomScale="70" zoomScaleNormal="70" workbookViewId="0">
      <pane xSplit="2" ySplit="1" topLeftCell="C20" activePane="bottomRight" state="frozen"/>
      <selection pane="topRight" activeCell="C1" sqref="C1"/>
      <selection pane="bottomLeft" activeCell="A2" sqref="A2"/>
      <selection pane="bottomRight" activeCell="D23" sqref="D23"/>
    </sheetView>
  </sheetViews>
  <sheetFormatPr baseColWidth="10" defaultColWidth="8.5703125" defaultRowHeight="15" x14ac:dyDescent="0.25"/>
  <cols>
    <col min="1" max="1" width="6" customWidth="1"/>
    <col min="2" max="2" width="26" customWidth="1"/>
    <col min="3" max="3" width="46" customWidth="1"/>
    <col min="4" max="4" width="67" customWidth="1"/>
    <col min="5" max="5" width="12" customWidth="1"/>
    <col min="6" max="7" width="15" customWidth="1"/>
    <col min="8" max="8" width="30" customWidth="1"/>
  </cols>
  <sheetData>
    <row r="1" spans="1:8" ht="30" x14ac:dyDescent="0.25">
      <c r="A1" s="1" t="s">
        <v>0</v>
      </c>
      <c r="B1" s="1" t="s">
        <v>100</v>
      </c>
      <c r="C1" s="1" t="s">
        <v>1</v>
      </c>
      <c r="D1" s="1" t="s">
        <v>101</v>
      </c>
      <c r="E1" s="1" t="s">
        <v>102</v>
      </c>
      <c r="F1" s="1" t="s">
        <v>103</v>
      </c>
      <c r="G1" s="1" t="s">
        <v>104</v>
      </c>
      <c r="H1" s="1" t="s">
        <v>105</v>
      </c>
    </row>
    <row r="2" spans="1:8" ht="216" customHeight="1" x14ac:dyDescent="0.25">
      <c r="A2" s="8" t="s">
        <v>6</v>
      </c>
      <c r="B2" s="8" t="s">
        <v>106</v>
      </c>
      <c r="C2" s="8" t="str">
        <f>IF(Banco!B2="","",Banco!B2)</f>
        <v>¿Qué eficiencia promedio en cobertura reporta Galvis-Aponte para los municipios colombianos?</v>
      </c>
      <c r="D2" s="7" t="s">
        <v>107</v>
      </c>
      <c r="E2" s="7" t="s">
        <v>11</v>
      </c>
      <c r="F2" s="7" t="s">
        <v>11</v>
      </c>
      <c r="G2" s="7" t="s">
        <v>108</v>
      </c>
      <c r="H2" s="7" t="s">
        <v>109</v>
      </c>
    </row>
    <row r="3" spans="1:8" ht="181.5" customHeight="1" x14ac:dyDescent="0.25">
      <c r="A3" s="8" t="s">
        <v>12</v>
      </c>
      <c r="B3" s="8" t="s">
        <v>106</v>
      </c>
      <c r="C3" s="8" t="str">
        <f>IF(Banco!B3="","",Banco!B3)</f>
        <v>¿Qué eficiencia promedio en calidad reporta Galvis-Aponte?</v>
      </c>
      <c r="D3" s="7" t="s">
        <v>110</v>
      </c>
      <c r="E3" s="7" t="s">
        <v>11</v>
      </c>
      <c r="F3" s="7" t="s">
        <v>11</v>
      </c>
      <c r="G3" s="7" t="s">
        <v>108</v>
      </c>
      <c r="H3" s="7" t="s">
        <v>111</v>
      </c>
    </row>
    <row r="4" spans="1:8" ht="211.5" customHeight="1" x14ac:dyDescent="0.25">
      <c r="A4" s="8" t="s">
        <v>15</v>
      </c>
      <c r="B4" s="8" t="s">
        <v>106</v>
      </c>
      <c r="C4" s="8" t="str">
        <f>IF(Banco!B4="","",Banco!B4)</f>
        <v>¿Qué orientación del modelo DEA usa Galvis-Aponte y cuáles son sus insumos?</v>
      </c>
      <c r="D4" s="7" t="s">
        <v>112</v>
      </c>
      <c r="E4" s="7" t="s">
        <v>11</v>
      </c>
      <c r="F4" s="7" t="s">
        <v>11</v>
      </c>
      <c r="G4" s="7" t="s">
        <v>108</v>
      </c>
      <c r="H4" s="7" t="s">
        <v>113</v>
      </c>
    </row>
    <row r="5" spans="1:8" ht="189.75" customHeight="1" x14ac:dyDescent="0.25">
      <c r="A5" s="8" t="s">
        <v>19</v>
      </c>
      <c r="B5" s="8" t="s">
        <v>106</v>
      </c>
      <c r="C5" s="8" t="str">
        <f>IF(Banco!B5="","",Banco!B5)</f>
        <v>¿Cuántas universidades públicas evalúan Maza Ávila et al. y en qué periodo?</v>
      </c>
      <c r="D5" s="7" t="s">
        <v>114</v>
      </c>
      <c r="E5" s="7" t="s">
        <v>11</v>
      </c>
      <c r="F5" s="7" t="s">
        <v>11</v>
      </c>
      <c r="G5" s="7" t="s">
        <v>108</v>
      </c>
      <c r="H5" s="7" t="s">
        <v>115</v>
      </c>
    </row>
    <row r="6" spans="1:8" ht="224.25" customHeight="1" x14ac:dyDescent="0.25">
      <c r="A6" s="8" t="s">
        <v>24</v>
      </c>
      <c r="B6" s="8" t="s">
        <v>106</v>
      </c>
      <c r="C6" s="8" t="str">
        <f>IF(Banco!B6="","",Banco!B6)</f>
        <v>¿Cuáles son los insumos del modelo de Maza Ávila et al.?</v>
      </c>
      <c r="D6" s="7" t="s">
        <v>116</v>
      </c>
      <c r="E6" s="7" t="s">
        <v>11</v>
      </c>
      <c r="F6" s="7" t="s">
        <v>11</v>
      </c>
      <c r="G6" s="7" t="s">
        <v>108</v>
      </c>
      <c r="H6" s="7" t="s">
        <v>117</v>
      </c>
    </row>
    <row r="7" spans="1:8" ht="252.75" customHeight="1" x14ac:dyDescent="0.25">
      <c r="A7" s="8" t="s">
        <v>27</v>
      </c>
      <c r="B7" s="8" t="s">
        <v>106</v>
      </c>
      <c r="C7" s="8" t="str">
        <f>IF(Banco!B7="","",Banco!B7)</f>
        <v>¿Cuánto creció la productividad de las universidades públicas colombianas según Maza Ávila et al.?</v>
      </c>
      <c r="D7" s="7" t="s">
        <v>118</v>
      </c>
      <c r="E7" s="7" t="s">
        <v>11</v>
      </c>
      <c r="F7" s="7" t="s">
        <v>11</v>
      </c>
      <c r="G7" s="7" t="s">
        <v>108</v>
      </c>
      <c r="H7" s="7" t="s">
        <v>119</v>
      </c>
    </row>
    <row r="8" spans="1:8" ht="198" customHeight="1" x14ac:dyDescent="0.25">
      <c r="A8" s="8" t="s">
        <v>31</v>
      </c>
      <c r="B8" s="8" t="s">
        <v>106</v>
      </c>
      <c r="C8" s="8" t="str">
        <f>IF(Banco!B8="","",Banco!B8)</f>
        <v>¿En qué se descompone el índice de Malmquist según Vázquez Rojas y Pérez-Esparrells?</v>
      </c>
      <c r="D8" s="7" t="s">
        <v>120</v>
      </c>
      <c r="E8" s="7" t="s">
        <v>11</v>
      </c>
      <c r="F8" s="7" t="s">
        <v>11</v>
      </c>
      <c r="G8" s="7" t="s">
        <v>108</v>
      </c>
      <c r="H8" s="7" t="s">
        <v>121</v>
      </c>
    </row>
    <row r="9" spans="1:8" ht="293.25" x14ac:dyDescent="0.25">
      <c r="A9" s="8" t="s">
        <v>36</v>
      </c>
      <c r="B9" s="8" t="s">
        <v>106</v>
      </c>
      <c r="C9" s="8" t="str">
        <f>IF(Banco!B9="","",Banco!B9)</f>
        <v>¿Qué técnica usa Melo-Becerra et al. para estimar la eficiencia?</v>
      </c>
      <c r="D9" s="7" t="s">
        <v>122</v>
      </c>
      <c r="E9" s="7" t="s">
        <v>11</v>
      </c>
      <c r="F9" s="7" t="s">
        <v>11</v>
      </c>
      <c r="G9" s="7" t="s">
        <v>108</v>
      </c>
      <c r="H9" s="7" t="s">
        <v>123</v>
      </c>
    </row>
    <row r="10" spans="1:8" ht="327.95" customHeight="1" x14ac:dyDescent="0.25">
      <c r="A10" s="8" t="s">
        <v>41</v>
      </c>
      <c r="B10" s="8" t="s">
        <v>106</v>
      </c>
      <c r="C10" s="8" t="str">
        <f>IF(Banco!B10="","",Banco!B10)</f>
        <v>¿Qué dice Melo-Becerra et al. sobre los estudios de eficiencia en educación superior en Colombia?</v>
      </c>
      <c r="D10" s="7" t="s">
        <v>124</v>
      </c>
      <c r="E10" s="7" t="s">
        <v>11</v>
      </c>
      <c r="F10" s="7" t="s">
        <v>95</v>
      </c>
      <c r="G10" s="7" t="s">
        <v>108</v>
      </c>
      <c r="H10" s="7" t="s">
        <v>125</v>
      </c>
    </row>
    <row r="11" spans="1:8" ht="197.1" customHeight="1" x14ac:dyDescent="0.25">
      <c r="A11" s="8" t="s">
        <v>45</v>
      </c>
      <c r="B11" s="8" t="s">
        <v>106</v>
      </c>
      <c r="C11" s="8" t="str">
        <f>IF(Banco!B11="","",Banco!B11)</f>
        <v>¿De qué año son los datos del estudio de Visbal-Cadavid et al. (2017)?</v>
      </c>
      <c r="D11" s="7" t="s">
        <v>126</v>
      </c>
      <c r="E11" s="7" t="s">
        <v>11</v>
      </c>
      <c r="F11" s="7" t="s">
        <v>11</v>
      </c>
      <c r="G11" s="7" t="s">
        <v>108</v>
      </c>
      <c r="H11" s="7" t="s">
        <v>127</v>
      </c>
    </row>
    <row r="12" spans="1:8" ht="369.75" x14ac:dyDescent="0.25">
      <c r="A12" s="8" t="s">
        <v>50</v>
      </c>
      <c r="B12" s="8" t="s">
        <v>106</v>
      </c>
      <c r="C12" s="8" t="str">
        <f>IF(Banco!B12="","",Banco!B12)</f>
        <v>¿Qué modelos DEA y qué orientación aplica Visbal-Cadavid et al.?</v>
      </c>
      <c r="D12" s="7" t="s">
        <v>128</v>
      </c>
      <c r="E12" s="7" t="s">
        <v>11</v>
      </c>
      <c r="F12" s="7" t="s">
        <v>11</v>
      </c>
      <c r="G12" s="7" t="s">
        <v>108</v>
      </c>
      <c r="H12" s="7" t="s">
        <v>129</v>
      </c>
    </row>
    <row r="13" spans="1:8" ht="63.75" x14ac:dyDescent="0.25">
      <c r="A13" s="8" t="s">
        <v>54</v>
      </c>
      <c r="B13" s="8" t="s">
        <v>106</v>
      </c>
      <c r="C13" s="8" t="str">
        <f>IF(Banco!B13="","",Banco!B13)</f>
        <v>¿Entre qué años aplica Visbal-Cadavid et al. el índice de Malmquist?</v>
      </c>
      <c r="D13" s="7" t="s">
        <v>130</v>
      </c>
      <c r="E13" s="7" t="s">
        <v>11</v>
      </c>
      <c r="F13" s="7" t="s">
        <v>11</v>
      </c>
      <c r="G13" s="7" t="s">
        <v>108</v>
      </c>
      <c r="H13" s="7" t="s">
        <v>131</v>
      </c>
    </row>
    <row r="14" spans="1:8" ht="203.25" customHeight="1" x14ac:dyDescent="0.25">
      <c r="A14" s="8" t="s">
        <v>58</v>
      </c>
      <c r="B14" s="8" t="s">
        <v>106</v>
      </c>
      <c r="C14" s="8" t="str">
        <f>IF(Banco!B14="","",Banco!B14)</f>
        <v>¿Qué ediciones del ENADE usan Marques et al.?</v>
      </c>
      <c r="D14" s="7" t="s">
        <v>132</v>
      </c>
      <c r="E14" s="7" t="s">
        <v>11</v>
      </c>
      <c r="F14" s="7" t="s">
        <v>11</v>
      </c>
      <c r="G14" s="7" t="s">
        <v>108</v>
      </c>
      <c r="H14" s="7" t="s">
        <v>133</v>
      </c>
    </row>
    <row r="15" spans="1:8" ht="185.25" customHeight="1" x14ac:dyDescent="0.25">
      <c r="A15" s="8" t="s">
        <v>63</v>
      </c>
      <c r="B15" s="8" t="s">
        <v>106</v>
      </c>
      <c r="C15" s="8" t="str">
        <f>IF(Banco!B15="","",Banco!B15)</f>
        <v>¿En qué dos componentes descompone la eficiencia Marques et al.?</v>
      </c>
      <c r="D15" s="7" t="s">
        <v>134</v>
      </c>
      <c r="E15" s="7" t="s">
        <v>11</v>
      </c>
      <c r="F15" s="7" t="s">
        <v>11</v>
      </c>
      <c r="G15" s="7" t="s">
        <v>108</v>
      </c>
      <c r="H15" s="7" t="s">
        <v>135</v>
      </c>
    </row>
    <row r="16" spans="1:8" ht="305.10000000000002" customHeight="1" x14ac:dyDescent="0.25">
      <c r="A16" s="8" t="s">
        <v>66</v>
      </c>
      <c r="B16" s="8" t="s">
        <v>106</v>
      </c>
      <c r="C16" s="8" t="str">
        <f>IF(Banco!B16="","",Banco!B16)</f>
        <v>¿Cuántas universidades mexicanas evalúa Navarro Chávez et al. y qué pasa con la eficiencia al aplicar bootstrap?</v>
      </c>
      <c r="D16" s="7" t="s">
        <v>136</v>
      </c>
      <c r="E16" s="7" t="s">
        <v>11</v>
      </c>
      <c r="F16" s="7" t="s">
        <v>11</v>
      </c>
      <c r="G16" s="7" t="s">
        <v>108</v>
      </c>
      <c r="H16" s="7" t="s">
        <v>137</v>
      </c>
    </row>
    <row r="17" spans="1:8" ht="234.95" customHeight="1" x14ac:dyDescent="0.25">
      <c r="A17" s="8" t="s">
        <v>71</v>
      </c>
      <c r="B17" s="8" t="s">
        <v>106</v>
      </c>
      <c r="C17" s="8" t="str">
        <f>IF(Banco!B17="","",Banco!B17)</f>
        <v>¿Cuántas instituciones y países cubre el estudio de Parteka y Wolszczak-Derlacz?</v>
      </c>
      <c r="D17" s="7" t="s">
        <v>138</v>
      </c>
      <c r="E17" s="7" t="s">
        <v>11</v>
      </c>
      <c r="F17" s="7" t="s">
        <v>11</v>
      </c>
      <c r="G17" s="7" t="s">
        <v>108</v>
      </c>
      <c r="H17" s="7" t="s">
        <v>139</v>
      </c>
    </row>
    <row r="18" spans="1:8" ht="369.75" x14ac:dyDescent="0.25">
      <c r="A18" s="8" t="s">
        <v>76</v>
      </c>
      <c r="B18" s="8" t="s">
        <v>106</v>
      </c>
      <c r="C18" s="8" t="str">
        <f>IF(Banco!B18="","",Banco!B18)</f>
        <v>¿Cómo define Charnes, Cooper y Rhodes el modelo que proponen?</v>
      </c>
      <c r="D18" s="7" t="s">
        <v>140</v>
      </c>
      <c r="E18" s="7" t="s">
        <v>11</v>
      </c>
      <c r="F18" s="7" t="s">
        <v>11</v>
      </c>
      <c r="G18" s="7" t="s">
        <v>108</v>
      </c>
      <c r="H18" s="7" t="s">
        <v>141</v>
      </c>
    </row>
    <row r="19" spans="1:8" ht="409.5" x14ac:dyDescent="0.25">
      <c r="A19" s="8" t="s">
        <v>81</v>
      </c>
      <c r="B19" s="8" t="s">
        <v>106</v>
      </c>
      <c r="C19" s="8" t="str">
        <f>IF(Banco!B19="","",Banco!B19)</f>
        <v>¿Qué encontró el estudio de metafrontera sobre la diferencia de eficiencia entre universidades públicas y privadas colombianas?</v>
      </c>
      <c r="D19" s="7" t="s">
        <v>142</v>
      </c>
      <c r="E19" s="7" t="s">
        <v>11</v>
      </c>
      <c r="F19" s="7" t="s">
        <v>11</v>
      </c>
      <c r="G19" s="7" t="s">
        <v>108</v>
      </c>
      <c r="H19" s="7" t="s">
        <v>143</v>
      </c>
    </row>
    <row r="20" spans="1:8" ht="256.5" customHeight="1" x14ac:dyDescent="0.25">
      <c r="A20" s="8" t="s">
        <v>86</v>
      </c>
      <c r="B20" s="8" t="s">
        <v>106</v>
      </c>
      <c r="C20" s="8" t="str">
        <f>IF(Banco!B20="","",Banco!B20)</f>
        <v>¿Qué valores del índice de Morán reporta el estudio sobre los resultados de Saber 11 por departamento?</v>
      </c>
      <c r="D20" s="7" t="s">
        <v>144</v>
      </c>
      <c r="E20" s="7" t="s">
        <v>11</v>
      </c>
      <c r="F20" s="7" t="s">
        <v>11</v>
      </c>
      <c r="G20" s="7" t="s">
        <v>108</v>
      </c>
      <c r="H20" s="7" t="s">
        <v>145</v>
      </c>
    </row>
    <row r="21" spans="1:8" ht="165.75" x14ac:dyDescent="0.25">
      <c r="A21" s="8" t="s">
        <v>91</v>
      </c>
      <c r="B21" s="8" t="s">
        <v>106</v>
      </c>
      <c r="C21" s="8" t="str">
        <f>IF(Banco!B21="","",Banco!B21)</f>
        <v>¿Cuál fue el presupuesto de la Universidad Nacional de Colombia en 2024?</v>
      </c>
      <c r="D21" s="7" t="s">
        <v>146</v>
      </c>
      <c r="E21" s="7" t="s">
        <v>11</v>
      </c>
      <c r="F21" s="7" t="s">
        <v>108</v>
      </c>
      <c r="G21" s="7" t="s">
        <v>11</v>
      </c>
      <c r="H21" s="7" t="s">
        <v>147</v>
      </c>
    </row>
    <row r="22" spans="1:8" ht="76.5" x14ac:dyDescent="0.25">
      <c r="A22" s="8" t="s">
        <v>96</v>
      </c>
      <c r="B22" s="8" t="s">
        <v>106</v>
      </c>
      <c r="C22" s="8" t="str">
        <f>IF(Banco!B22="","",Banco!B22)</f>
        <v>¿Cuántas universidades públicas aparecen desagregadas en el informe del PTE de 2024?</v>
      </c>
      <c r="D22" s="7" t="s">
        <v>148</v>
      </c>
      <c r="E22" s="7" t="s">
        <v>11</v>
      </c>
      <c r="F22" s="7" t="s">
        <v>108</v>
      </c>
      <c r="G22" s="7" t="s">
        <v>11</v>
      </c>
      <c r="H22" s="7" t="s">
        <v>149</v>
      </c>
    </row>
    <row r="23" spans="1:8" ht="360" customHeight="1" x14ac:dyDescent="0.25">
      <c r="A23" s="8" t="s">
        <v>98</v>
      </c>
      <c r="B23" s="8" t="s">
        <v>106</v>
      </c>
      <c r="C23" s="8" t="str">
        <f>IF(Banco!B23="","",Banco!B23)</f>
        <v>¿Cuál fue el puntaje promedio de Saber Pro por institución en 2024?</v>
      </c>
      <c r="D23" s="7" t="s">
        <v>150</v>
      </c>
      <c r="E23" s="7" t="s">
        <v>11</v>
      </c>
      <c r="F23" s="7" t="s">
        <v>108</v>
      </c>
      <c r="G23" s="7" t="s">
        <v>11</v>
      </c>
      <c r="H23" s="7" t="s">
        <v>151</v>
      </c>
    </row>
    <row r="24" spans="1:8" ht="81.75" customHeight="1" x14ac:dyDescent="0.25">
      <c r="A24" s="8" t="s">
        <v>6</v>
      </c>
      <c r="B24" s="8" t="s">
        <v>152</v>
      </c>
      <c r="C24" s="8" t="str">
        <f>IF(Banco!B2="","",Banco!B2)</f>
        <v>¿Qué eficiencia promedio en cobertura reporta Galvis-Aponte para los municipios colombianos?</v>
      </c>
      <c r="D24" s="7" t="s">
        <v>153</v>
      </c>
      <c r="E24" s="7" t="s">
        <v>95</v>
      </c>
      <c r="F24" s="7" t="s">
        <v>95</v>
      </c>
      <c r="G24" s="7" t="s">
        <v>108</v>
      </c>
      <c r="H24" s="7" t="s">
        <v>154</v>
      </c>
    </row>
    <row r="25" spans="1:8" ht="66.75" customHeight="1" x14ac:dyDescent="0.25">
      <c r="A25" s="8" t="s">
        <v>12</v>
      </c>
      <c r="B25" s="8" t="s">
        <v>152</v>
      </c>
      <c r="C25" s="8" t="str">
        <f>IF(Banco!B3="","",Banco!B3)</f>
        <v>¿Qué eficiencia promedio en calidad reporta Galvis-Aponte?</v>
      </c>
      <c r="D25" s="7" t="s">
        <v>155</v>
      </c>
      <c r="E25" s="7" t="s">
        <v>95</v>
      </c>
      <c r="F25" s="7" t="s">
        <v>95</v>
      </c>
      <c r="G25" s="7" t="s">
        <v>108</v>
      </c>
      <c r="H25" s="7" t="s">
        <v>156</v>
      </c>
    </row>
    <row r="26" spans="1:8" ht="89.25" customHeight="1" x14ac:dyDescent="0.25">
      <c r="A26" s="8" t="s">
        <v>15</v>
      </c>
      <c r="B26" s="8" t="s">
        <v>152</v>
      </c>
      <c r="C26" s="8" t="str">
        <f>IF(Banco!B4="","",Banco!B4)</f>
        <v>¿Qué orientación del modelo DEA usa Galvis-Aponte y cuáles son sus insumos?</v>
      </c>
      <c r="D26" s="7" t="s">
        <v>157</v>
      </c>
      <c r="E26" s="7" t="s">
        <v>95</v>
      </c>
      <c r="F26" s="7" t="s">
        <v>95</v>
      </c>
      <c r="G26" s="7" t="s">
        <v>108</v>
      </c>
      <c r="H26" s="7" t="s">
        <v>158</v>
      </c>
    </row>
    <row r="27" spans="1:8" ht="33.75" customHeight="1" x14ac:dyDescent="0.25">
      <c r="A27" s="8" t="s">
        <v>19</v>
      </c>
      <c r="B27" s="8" t="s">
        <v>152</v>
      </c>
      <c r="C27" s="8" t="str">
        <f>IF(Banco!B5="","",Banco!B5)</f>
        <v>¿Cuántas universidades públicas evalúan Maza Ávila et al. y en qué periodo?</v>
      </c>
      <c r="D27" s="7" t="s">
        <v>159</v>
      </c>
      <c r="E27" s="7" t="s">
        <v>95</v>
      </c>
      <c r="F27" s="7" t="s">
        <v>95</v>
      </c>
      <c r="G27" s="7" t="s">
        <v>108</v>
      </c>
      <c r="H27" s="7" t="s">
        <v>160</v>
      </c>
    </row>
    <row r="28" spans="1:8" ht="141" customHeight="1" x14ac:dyDescent="0.25">
      <c r="A28" s="8" t="s">
        <v>24</v>
      </c>
      <c r="B28" s="8" t="s">
        <v>152</v>
      </c>
      <c r="C28" s="8" t="str">
        <f>IF(Banco!B6="","",Banco!B6)</f>
        <v>¿Cuáles son los insumos del modelo de Maza Ávila et al.?</v>
      </c>
      <c r="D28" s="7" t="s">
        <v>161</v>
      </c>
      <c r="E28" s="7" t="s">
        <v>95</v>
      </c>
      <c r="F28" s="7" t="s">
        <v>95</v>
      </c>
      <c r="G28" s="7" t="s">
        <v>108</v>
      </c>
      <c r="H28" s="7" t="s">
        <v>162</v>
      </c>
    </row>
    <row r="29" spans="1:8" ht="81.75" customHeight="1" x14ac:dyDescent="0.25">
      <c r="A29" s="8" t="s">
        <v>27</v>
      </c>
      <c r="B29" s="8" t="s">
        <v>152</v>
      </c>
      <c r="C29" s="8" t="str">
        <f>IF(Banco!B7="","",Banco!B7)</f>
        <v>¿Cuánto creció la productividad de las universidades públicas colombianas según Maza Ávila et al.?</v>
      </c>
      <c r="D29" s="7" t="s">
        <v>163</v>
      </c>
      <c r="E29" s="7" t="s">
        <v>95</v>
      </c>
      <c r="F29" s="7" t="s">
        <v>95</v>
      </c>
      <c r="G29" s="7" t="s">
        <v>108</v>
      </c>
      <c r="H29" s="7" t="s">
        <v>164</v>
      </c>
    </row>
    <row r="30" spans="1:8" ht="182.25" customHeight="1" x14ac:dyDescent="0.25">
      <c r="A30" s="8" t="s">
        <v>31</v>
      </c>
      <c r="B30" s="8" t="s">
        <v>152</v>
      </c>
      <c r="C30" s="8" t="str">
        <f>IF(Banco!B8="","",Banco!B8)</f>
        <v>¿En qué se descompone el índice de Malmquist según Vázquez Rojas y Pérez-Esparrells?</v>
      </c>
      <c r="D30" s="7" t="s">
        <v>165</v>
      </c>
      <c r="E30" s="7" t="s">
        <v>11</v>
      </c>
      <c r="F30" s="7" t="s">
        <v>95</v>
      </c>
      <c r="G30" s="7" t="s">
        <v>108</v>
      </c>
      <c r="H30" s="7" t="s">
        <v>166</v>
      </c>
    </row>
    <row r="31" spans="1:8" ht="255.95" customHeight="1" x14ac:dyDescent="0.25">
      <c r="A31" s="8" t="s">
        <v>36</v>
      </c>
      <c r="B31" s="8" t="s">
        <v>152</v>
      </c>
      <c r="C31" s="8" t="str">
        <f>IF(Banco!B9="","",Banco!B9)</f>
        <v>¿Qué técnica usa Melo-Becerra et al. para estimar la eficiencia?</v>
      </c>
      <c r="D31" s="7" t="s">
        <v>167</v>
      </c>
      <c r="E31" s="7" t="s">
        <v>95</v>
      </c>
      <c r="F31" s="7" t="s">
        <v>95</v>
      </c>
      <c r="G31" s="7" t="s">
        <v>108</v>
      </c>
      <c r="H31" s="7" t="s">
        <v>168</v>
      </c>
    </row>
    <row r="32" spans="1:8" ht="272.45" customHeight="1" x14ac:dyDescent="0.25">
      <c r="A32" s="8" t="s">
        <v>41</v>
      </c>
      <c r="B32" s="8" t="s">
        <v>152</v>
      </c>
      <c r="C32" s="8" t="str">
        <f>IF(Banco!B10="","",Banco!B10)</f>
        <v>¿Qué dice Melo-Becerra et al. sobre los estudios de eficiencia en educación superior en Colombia?</v>
      </c>
      <c r="D32" s="7" t="s">
        <v>169</v>
      </c>
      <c r="E32" s="7" t="s">
        <v>95</v>
      </c>
      <c r="F32" s="7" t="s">
        <v>95</v>
      </c>
      <c r="G32" s="7" t="s">
        <v>108</v>
      </c>
      <c r="H32" s="7" t="s">
        <v>170</v>
      </c>
    </row>
    <row r="33" spans="1:8" ht="33.75" customHeight="1" x14ac:dyDescent="0.25">
      <c r="A33" s="8" t="s">
        <v>45</v>
      </c>
      <c r="B33" s="8" t="s">
        <v>152</v>
      </c>
      <c r="C33" s="8" t="str">
        <f>IF(Banco!B11="","",Banco!B11)</f>
        <v>¿De qué año son los datos del estudio de Visbal-Cadavid et al. (2017)?</v>
      </c>
      <c r="D33" s="7" t="s">
        <v>171</v>
      </c>
      <c r="E33" s="7" t="s">
        <v>95</v>
      </c>
      <c r="F33" s="7" t="s">
        <v>95</v>
      </c>
      <c r="G33" s="7" t="s">
        <v>108</v>
      </c>
      <c r="H33" s="7" t="s">
        <v>172</v>
      </c>
    </row>
    <row r="34" spans="1:8" ht="231.95" customHeight="1" x14ac:dyDescent="0.25">
      <c r="A34" s="8" t="s">
        <v>50</v>
      </c>
      <c r="B34" s="8" t="s">
        <v>152</v>
      </c>
      <c r="C34" s="8" t="str">
        <f>IF(Banco!B12="","",Banco!B12)</f>
        <v>¿Qué modelos DEA y qué orientación aplica Visbal-Cadavid et al.?</v>
      </c>
      <c r="D34" s="7" t="s">
        <v>173</v>
      </c>
      <c r="E34" s="7" t="s">
        <v>95</v>
      </c>
      <c r="F34" s="7" t="s">
        <v>95</v>
      </c>
      <c r="G34" s="7" t="s">
        <v>108</v>
      </c>
      <c r="H34" s="7" t="s">
        <v>174</v>
      </c>
    </row>
    <row r="35" spans="1:8" ht="89.1" customHeight="1" x14ac:dyDescent="0.25">
      <c r="A35" s="8" t="s">
        <v>54</v>
      </c>
      <c r="B35" s="8" t="s">
        <v>152</v>
      </c>
      <c r="C35" s="8" t="str">
        <f>IF(Banco!B13="","",Banco!B13)</f>
        <v>¿Entre qué años aplica Visbal-Cadavid et al. el índice de Malmquist?</v>
      </c>
      <c r="D35" s="7" t="s">
        <v>175</v>
      </c>
      <c r="E35" s="7" t="s">
        <v>95</v>
      </c>
      <c r="F35" s="7" t="s">
        <v>95</v>
      </c>
      <c r="G35" s="7" t="s">
        <v>108</v>
      </c>
      <c r="H35" s="7" t="s">
        <v>176</v>
      </c>
    </row>
    <row r="36" spans="1:8" ht="78.75" customHeight="1" x14ac:dyDescent="0.25">
      <c r="A36" s="8" t="s">
        <v>58</v>
      </c>
      <c r="B36" s="8" t="s">
        <v>152</v>
      </c>
      <c r="C36" s="8" t="str">
        <f>IF(Banco!B14="","",Banco!B14)</f>
        <v>¿Qué ediciones del ENADE usan Marques et al.?</v>
      </c>
      <c r="D36" s="7" t="s">
        <v>177</v>
      </c>
      <c r="E36" s="7" t="s">
        <v>95</v>
      </c>
      <c r="F36" s="7" t="s">
        <v>95</v>
      </c>
      <c r="G36" s="7" t="s">
        <v>108</v>
      </c>
      <c r="H36" s="7" t="s">
        <v>178</v>
      </c>
    </row>
    <row r="37" spans="1:8" ht="104.25" customHeight="1" x14ac:dyDescent="0.25">
      <c r="A37" s="8" t="s">
        <v>63</v>
      </c>
      <c r="B37" s="8" t="s">
        <v>152</v>
      </c>
      <c r="C37" s="8" t="str">
        <f>IF(Banco!B15="","",Banco!B15)</f>
        <v>¿En qué dos componentes descompone la eficiencia Marques et al.?</v>
      </c>
      <c r="D37" s="7" t="s">
        <v>179</v>
      </c>
      <c r="E37" s="7" t="s">
        <v>95</v>
      </c>
      <c r="F37" s="7" t="s">
        <v>95</v>
      </c>
      <c r="G37" s="7" t="s">
        <v>108</v>
      </c>
      <c r="H37" s="7" t="s">
        <v>180</v>
      </c>
    </row>
    <row r="38" spans="1:8" ht="200.1" customHeight="1" x14ac:dyDescent="0.25">
      <c r="A38" s="8" t="s">
        <v>66</v>
      </c>
      <c r="B38" s="8" t="s">
        <v>152</v>
      </c>
      <c r="C38" s="8" t="str">
        <f>IF(Banco!B16="","",Banco!B16)</f>
        <v>¿Cuántas universidades mexicanas evalúa Navarro Chávez et al. y qué pasa con la eficiencia al aplicar bootstrap?</v>
      </c>
      <c r="D38" s="7" t="s">
        <v>181</v>
      </c>
      <c r="E38" s="7" t="s">
        <v>95</v>
      </c>
      <c r="F38" s="7" t="s">
        <v>95</v>
      </c>
      <c r="G38" s="7" t="s">
        <v>108</v>
      </c>
      <c r="H38" s="7" t="s">
        <v>182</v>
      </c>
    </row>
    <row r="39" spans="1:8" ht="99.95" customHeight="1" x14ac:dyDescent="0.25">
      <c r="A39" s="8" t="s">
        <v>71</v>
      </c>
      <c r="B39" s="8" t="s">
        <v>152</v>
      </c>
      <c r="C39" s="8" t="str">
        <f>IF(Banco!B17="","",Banco!B17)</f>
        <v>¿Cuántas instituciones y países cubre el estudio de Parteka y Wolszczak-Derlacz?</v>
      </c>
      <c r="D39" s="7" t="s">
        <v>183</v>
      </c>
      <c r="E39" s="7" t="s">
        <v>95</v>
      </c>
      <c r="F39" s="7" t="s">
        <v>95</v>
      </c>
      <c r="G39" s="7" t="s">
        <v>108</v>
      </c>
      <c r="H39" s="7" t="s">
        <v>184</v>
      </c>
    </row>
    <row r="40" spans="1:8" ht="299.45" customHeight="1" x14ac:dyDescent="0.25">
      <c r="A40" s="8" t="s">
        <v>76</v>
      </c>
      <c r="B40" s="8" t="s">
        <v>152</v>
      </c>
      <c r="C40" s="8" t="str">
        <f>IF(Banco!B18="","",Banco!B18)</f>
        <v>¿Cómo define Charnes, Cooper y Rhodes el modelo que proponen?</v>
      </c>
      <c r="D40" s="7" t="s">
        <v>185</v>
      </c>
      <c r="E40" s="7" t="s">
        <v>11</v>
      </c>
      <c r="F40" s="7" t="s">
        <v>95</v>
      </c>
      <c r="G40" s="7" t="s">
        <v>108</v>
      </c>
      <c r="H40" s="7" t="s">
        <v>186</v>
      </c>
    </row>
    <row r="41" spans="1:8" ht="125.25" customHeight="1" x14ac:dyDescent="0.25">
      <c r="A41" s="8" t="s">
        <v>81</v>
      </c>
      <c r="B41" s="8" t="s">
        <v>152</v>
      </c>
      <c r="C41" s="8" t="str">
        <f>IF(Banco!B19="","",Banco!B19)</f>
        <v>¿Qué encontró el estudio de metafrontera sobre la diferencia de eficiencia entre universidades públicas y privadas colombianas?</v>
      </c>
      <c r="D41" s="7" t="s">
        <v>187</v>
      </c>
      <c r="E41" s="7" t="s">
        <v>95</v>
      </c>
      <c r="F41" s="7" t="s">
        <v>95</v>
      </c>
      <c r="G41" s="7" t="s">
        <v>108</v>
      </c>
      <c r="H41" s="7" t="s">
        <v>188</v>
      </c>
    </row>
    <row r="42" spans="1:8" ht="139.5" customHeight="1" x14ac:dyDescent="0.25">
      <c r="A42" s="8" t="s">
        <v>86</v>
      </c>
      <c r="B42" s="8" t="s">
        <v>152</v>
      </c>
      <c r="C42" s="8" t="str">
        <f>IF(Banco!B20="","",Banco!B20)</f>
        <v>¿Qué valores del índice de Morán reporta el estudio sobre los resultados de Saber 11 por departamento?</v>
      </c>
      <c r="D42" s="7" t="s">
        <v>189</v>
      </c>
      <c r="E42" s="7" t="s">
        <v>95</v>
      </c>
      <c r="F42" s="7" t="s">
        <v>95</v>
      </c>
      <c r="G42" s="7" t="s">
        <v>108</v>
      </c>
      <c r="H42" s="7" t="s">
        <v>190</v>
      </c>
    </row>
    <row r="43" spans="1:8" ht="93.6" customHeight="1" x14ac:dyDescent="0.25">
      <c r="A43" s="8" t="s">
        <v>91</v>
      </c>
      <c r="B43" s="8" t="s">
        <v>152</v>
      </c>
      <c r="C43" s="8" t="str">
        <f>IF(Banco!B21="","",Banco!B21)</f>
        <v>¿Cuál fue el presupuesto de la Universidad Nacional de Colombia en 2024?</v>
      </c>
      <c r="D43" s="7" t="s">
        <v>191</v>
      </c>
      <c r="E43" s="7" t="s">
        <v>11</v>
      </c>
      <c r="F43" s="7" t="s">
        <v>108</v>
      </c>
      <c r="G43" s="7" t="s">
        <v>11</v>
      </c>
      <c r="H43" s="7" t="s">
        <v>192</v>
      </c>
    </row>
    <row r="44" spans="1:8" ht="143.44999999999999" customHeight="1" x14ac:dyDescent="0.25">
      <c r="A44" s="8" t="s">
        <v>96</v>
      </c>
      <c r="B44" s="8" t="s">
        <v>152</v>
      </c>
      <c r="C44" s="8" t="str">
        <f>IF(Banco!B22="","",Banco!B22)</f>
        <v>¿Cuántas universidades públicas aparecen desagregadas en el informe del PTE de 2024?</v>
      </c>
      <c r="D44" s="7" t="s">
        <v>193</v>
      </c>
      <c r="E44" s="7" t="s">
        <v>95</v>
      </c>
      <c r="F44" s="7" t="s">
        <v>108</v>
      </c>
      <c r="G44" s="7" t="s">
        <v>95</v>
      </c>
      <c r="H44" s="7" t="s">
        <v>194</v>
      </c>
    </row>
    <row r="45" spans="1:8" ht="188.45" customHeight="1" x14ac:dyDescent="0.25">
      <c r="A45" s="8" t="s">
        <v>98</v>
      </c>
      <c r="B45" s="8" t="s">
        <v>152</v>
      </c>
      <c r="C45" s="8" t="str">
        <f>IF(Banco!B23="","",Banco!B23)</f>
        <v>¿Cuál fue el puntaje promedio de Saber Pro por institución en 2024?</v>
      </c>
      <c r="D45" s="7" t="s">
        <v>195</v>
      </c>
      <c r="E45" s="7" t="s">
        <v>11</v>
      </c>
      <c r="F45" s="7" t="s">
        <v>108</v>
      </c>
      <c r="G45" s="7" t="s">
        <v>11</v>
      </c>
      <c r="H45" s="7" t="s">
        <v>196</v>
      </c>
    </row>
  </sheetData>
  <dataValidations count="1">
    <dataValidation type="list" allowBlank="1" sqref="E2:G45" xr:uid="{00000000-0002-0000-0200-000000000000}">
      <formula1>"Sí,No,No aplica"</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zoomScaleNormal="100" workbookViewId="0">
      <selection activeCell="B7" sqref="B7"/>
    </sheetView>
  </sheetViews>
  <sheetFormatPr baseColWidth="10" defaultColWidth="8.5703125" defaultRowHeight="15" x14ac:dyDescent="0.25"/>
  <cols>
    <col min="1" max="1" width="46" customWidth="1"/>
    <col min="2" max="3" width="16" customWidth="1"/>
    <col min="4" max="4" width="12" customWidth="1"/>
  </cols>
  <sheetData>
    <row r="1" spans="1:4" ht="16.5" x14ac:dyDescent="0.25">
      <c r="A1" s="2" t="s">
        <v>197</v>
      </c>
    </row>
    <row r="3" spans="1:4" x14ac:dyDescent="0.25">
      <c r="A3" s="3" t="s">
        <v>198</v>
      </c>
      <c r="B3" s="3" t="s">
        <v>199</v>
      </c>
      <c r="C3" s="3" t="s">
        <v>200</v>
      </c>
      <c r="D3" s="3" t="s">
        <v>201</v>
      </c>
    </row>
    <row r="4" spans="1:4" x14ac:dyDescent="0.25">
      <c r="A4" s="10" t="s">
        <v>202</v>
      </c>
      <c r="B4" s="10">
        <f>COUNTIFS(Corrida!$B$2:$B$45,"Sistema (NotebookLM)",Corrida!$E$2:$E$45,"&lt;&gt;")</f>
        <v>22</v>
      </c>
      <c r="C4" s="10">
        <f>COUNTIFS(Corrida!$B$2:$B$45,"Control A (sin fuentes)",Corrida!$E$2:$E$45,"&lt;&gt;")</f>
        <v>22</v>
      </c>
      <c r="D4" s="4">
        <f>B4-C4</f>
        <v>0</v>
      </c>
    </row>
    <row r="5" spans="1:4" x14ac:dyDescent="0.25">
      <c r="A5" s="10" t="s">
        <v>203</v>
      </c>
      <c r="B5" s="10">
        <f>COUNTIFS(Corrida!$B$2:$B$45,"Sistema (NotebookLM)",Corrida!$E$2:$E$45,"Sí")</f>
        <v>22</v>
      </c>
      <c r="C5" s="10">
        <f>COUNTIFS(Corrida!$B$2:$B$45,"Control A (sin fuentes)",Corrida!$E$2:$E$45,"Sí")</f>
        <v>4</v>
      </c>
      <c r="D5" s="4">
        <f>B5-C5</f>
        <v>18</v>
      </c>
    </row>
    <row r="6" spans="1:4" x14ac:dyDescent="0.25">
      <c r="A6" s="10" t="s">
        <v>204</v>
      </c>
      <c r="B6" s="10">
        <f>COUNTIFS(Corrida!$B$2:$B$45,"Sistema (NotebookLM)",Corrida!$F$2:$F$45,"Sí")</f>
        <v>18</v>
      </c>
      <c r="C6" s="10">
        <f>COUNTIFS(Corrida!$B$2:$B$45,"Control A (sin fuentes)",Corrida!$F$2:$F$45,"Sí")</f>
        <v>0</v>
      </c>
      <c r="D6" s="4">
        <f>B6-C6</f>
        <v>18</v>
      </c>
    </row>
    <row r="7" spans="1:4" x14ac:dyDescent="0.25">
      <c r="A7" s="10" t="s">
        <v>205</v>
      </c>
      <c r="B7" s="10">
        <f>COUNTIFS(Corrida!$B$2:$B$45,"Sistema (NotebookLM)",Corrida!$G$2:$G$45,"Sí")</f>
        <v>3</v>
      </c>
      <c r="C7" s="10">
        <f>COUNTIFS(Corrida!$B$2:$B$45,"Control A (sin fuentes)",Corrida!$G$2:$G$45,"Sí")</f>
        <v>2</v>
      </c>
      <c r="D7" s="4">
        <f>B7-C7</f>
        <v>1</v>
      </c>
    </row>
    <row r="9" spans="1:4" x14ac:dyDescent="0.25">
      <c r="A9" s="4" t="s">
        <v>206</v>
      </c>
      <c r="B9" s="5">
        <f>IF(B4=0,"",B5/B4)</f>
        <v>1</v>
      </c>
      <c r="C9" s="5">
        <f>IF(C4=0,"",C5/C4)</f>
        <v>0.18181818181818182</v>
      </c>
    </row>
    <row r="11" spans="1:4" x14ac:dyDescent="0.25">
      <c r="A11" s="6" t="s">
        <v>207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Banco</vt:lpstr>
      <vt:lpstr>Corrida</vt:lpstr>
      <vt:lpstr>Resultados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valeria renteria diaz</cp:lastModifiedBy>
  <cp:revision>0</cp:revision>
  <dcterms:created xsi:type="dcterms:W3CDTF">2026-09-29T23:13:26Z</dcterms:created>
  <dcterms:modified xsi:type="dcterms:W3CDTF">2026-10-05T03:12:16Z</dcterms:modified>
  <cp:category/>
  <cp:contentStatus/>
</cp:coreProperties>
</file>